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yu Jia\Desktop\Spring 2018\Math 400\"/>
    </mc:Choice>
  </mc:AlternateContent>
  <xr:revisionPtr revIDLastSave="0" documentId="13_ncr:1_{E1DA7465-44D0-4637-B07F-3EF897615098}" xr6:coauthVersionLast="32" xr6:coauthVersionMax="32" xr10:uidLastSave="{00000000-0000-0000-0000-000000000000}"/>
  <bookViews>
    <workbookView xWindow="0" yWindow="0" windowWidth="28800" windowHeight="12210" activeTab="3" xr2:uid="{2B171457-6A3F-4F84-BA67-B07A542FEF34}"/>
  </bookViews>
  <sheets>
    <sheet name="original" sheetId="1" r:id="rId1"/>
    <sheet name="Ed. 1" sheetId="2" r:id="rId2"/>
    <sheet name="NOGs" sheetId="3" r:id="rId3"/>
    <sheet name="final" sheetId="4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4" l="1"/>
  <c r="D277" i="4"/>
  <c r="C278" i="4"/>
  <c r="C277" i="4"/>
  <c r="B278" i="4"/>
  <c r="B277" i="4"/>
  <c r="D274" i="4" l="1"/>
  <c r="C274" i="4"/>
  <c r="B274" i="4"/>
  <c r="D273" i="4"/>
  <c r="C273" i="4"/>
  <c r="B273" i="4"/>
  <c r="D272" i="4"/>
  <c r="C272" i="4"/>
  <c r="B272" i="4"/>
  <c r="D271" i="4"/>
  <c r="C271" i="4"/>
  <c r="B271" i="4"/>
  <c r="D269" i="4"/>
  <c r="C269" i="4"/>
  <c r="B269" i="4"/>
  <c r="D268" i="4"/>
  <c r="C268" i="4"/>
  <c r="B268" i="4"/>
  <c r="D267" i="4"/>
  <c r="C267" i="4"/>
  <c r="B267" i="4"/>
  <c r="D266" i="4"/>
  <c r="C266" i="4"/>
  <c r="B266" i="4"/>
  <c r="D273" i="3"/>
  <c r="C273" i="3"/>
  <c r="B273" i="3"/>
  <c r="D272" i="3"/>
  <c r="C272" i="3"/>
  <c r="B272" i="3"/>
  <c r="D271" i="3"/>
  <c r="C271" i="3"/>
  <c r="B271" i="3"/>
  <c r="D270" i="3"/>
  <c r="C270" i="3"/>
  <c r="B270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73" i="2"/>
  <c r="D272" i="2"/>
  <c r="D271" i="2"/>
  <c r="D270" i="2"/>
  <c r="D268" i="2"/>
  <c r="D267" i="2"/>
  <c r="D266" i="2"/>
  <c r="D265" i="2"/>
  <c r="C273" i="2"/>
  <c r="C272" i="2"/>
  <c r="C271" i="2"/>
  <c r="C270" i="2"/>
  <c r="C268" i="2"/>
  <c r="C267" i="2"/>
  <c r="C266" i="2"/>
  <c r="C265" i="2"/>
  <c r="B273" i="2"/>
  <c r="B272" i="2"/>
  <c r="B271" i="2"/>
  <c r="B270" i="2"/>
  <c r="B268" i="2"/>
  <c r="B267" i="2"/>
  <c r="B266" i="2"/>
  <c r="B265" i="2"/>
  <c r="B240" i="4" l="1"/>
  <c r="D261" i="4" l="1"/>
  <c r="C261" i="4"/>
  <c r="B261" i="4"/>
  <c r="D260" i="4"/>
  <c r="C260" i="4"/>
  <c r="B260" i="4"/>
  <c r="D259" i="4"/>
  <c r="C259" i="4"/>
  <c r="B259" i="4"/>
  <c r="D258" i="4"/>
  <c r="C258" i="4"/>
  <c r="B258" i="4"/>
  <c r="D256" i="4"/>
  <c r="C256" i="4"/>
  <c r="B256" i="4"/>
  <c r="D253" i="4"/>
  <c r="C253" i="4"/>
  <c r="B253" i="4"/>
  <c r="D252" i="4"/>
  <c r="C252" i="4"/>
  <c r="B252" i="4"/>
  <c r="B251" i="4"/>
  <c r="D249" i="4"/>
  <c r="C249" i="4"/>
  <c r="B249" i="4"/>
  <c r="D247" i="4"/>
  <c r="C247" i="4"/>
  <c r="B247" i="4"/>
  <c r="D243" i="4"/>
  <c r="C243" i="4"/>
  <c r="B243" i="4"/>
  <c r="D242" i="4"/>
  <c r="C242" i="4"/>
  <c r="B242" i="4"/>
  <c r="B241" i="4"/>
  <c r="D240" i="4"/>
  <c r="C240" i="4"/>
  <c r="D239" i="4"/>
  <c r="C239" i="4"/>
  <c r="B239" i="4"/>
  <c r="D236" i="4"/>
  <c r="C236" i="4"/>
  <c r="B236" i="4"/>
  <c r="D233" i="4"/>
  <c r="C233" i="4"/>
  <c r="B233" i="4"/>
  <c r="D232" i="4"/>
  <c r="C232" i="4"/>
  <c r="B232" i="4"/>
  <c r="D231" i="4"/>
  <c r="C231" i="4"/>
  <c r="B231" i="4"/>
  <c r="D228" i="4"/>
  <c r="C228" i="4"/>
  <c r="B228" i="4"/>
  <c r="D226" i="4"/>
  <c r="C226" i="4"/>
  <c r="B226" i="4"/>
  <c r="D224" i="4"/>
  <c r="C224" i="4"/>
  <c r="B224" i="4"/>
  <c r="D223" i="4"/>
  <c r="C223" i="4"/>
  <c r="B223" i="4"/>
  <c r="D221" i="4"/>
  <c r="C221" i="4"/>
  <c r="B221" i="4"/>
  <c r="D219" i="4"/>
  <c r="C219" i="4"/>
  <c r="B219" i="4"/>
  <c r="D217" i="4"/>
  <c r="C217" i="4"/>
  <c r="B217" i="4"/>
  <c r="B215" i="4"/>
  <c r="D214" i="4"/>
  <c r="C214" i="4"/>
  <c r="B214" i="4"/>
  <c r="D211" i="4"/>
  <c r="C211" i="4"/>
  <c r="B211" i="4"/>
  <c r="D210" i="4"/>
  <c r="C210" i="4"/>
  <c r="B210" i="4"/>
  <c r="D208" i="4"/>
  <c r="C208" i="4"/>
  <c r="B208" i="4"/>
  <c r="D207" i="4"/>
  <c r="C207" i="4"/>
  <c r="B207" i="4"/>
  <c r="D204" i="4"/>
  <c r="C204" i="4"/>
  <c r="B204" i="4"/>
  <c r="D202" i="4"/>
  <c r="C202" i="4"/>
  <c r="B202" i="4"/>
  <c r="D200" i="4"/>
  <c r="C200" i="4"/>
  <c r="B200" i="4"/>
  <c r="B199" i="4"/>
  <c r="D198" i="4"/>
  <c r="C198" i="4"/>
  <c r="B198" i="4"/>
  <c r="D196" i="4"/>
  <c r="C196" i="4"/>
  <c r="B196" i="4"/>
  <c r="D195" i="4"/>
  <c r="C195" i="4"/>
  <c r="B195" i="4"/>
  <c r="D194" i="4"/>
  <c r="C194" i="4"/>
  <c r="B194" i="4"/>
  <c r="D191" i="4"/>
  <c r="C191" i="4"/>
  <c r="B191" i="4"/>
  <c r="D190" i="4"/>
  <c r="C190" i="4"/>
  <c r="B190" i="4"/>
  <c r="D187" i="4"/>
  <c r="C187" i="4"/>
  <c r="B187" i="4"/>
  <c r="D186" i="4"/>
  <c r="C186" i="4"/>
  <c r="B186" i="4"/>
  <c r="D183" i="4"/>
  <c r="C183" i="4"/>
  <c r="B183" i="4"/>
  <c r="D180" i="4"/>
  <c r="C180" i="4"/>
  <c r="B180" i="4"/>
  <c r="D179" i="4"/>
  <c r="C179" i="4"/>
  <c r="B179" i="4"/>
  <c r="D178" i="4"/>
  <c r="C178" i="4"/>
  <c r="B178" i="4"/>
  <c r="D174" i="4"/>
  <c r="C174" i="4"/>
  <c r="B174" i="4"/>
  <c r="D173" i="4"/>
  <c r="C173" i="4"/>
  <c r="B173" i="4"/>
  <c r="D172" i="4"/>
  <c r="C172" i="4"/>
  <c r="B172" i="4"/>
  <c r="D169" i="4"/>
  <c r="C169" i="4"/>
  <c r="B169" i="4"/>
  <c r="D167" i="4"/>
  <c r="C167" i="4"/>
  <c r="B167" i="4"/>
  <c r="D164" i="4"/>
  <c r="C164" i="4"/>
  <c r="B164" i="4"/>
  <c r="D162" i="4"/>
  <c r="C162" i="4"/>
  <c r="B162" i="4"/>
  <c r="D161" i="4"/>
  <c r="C161" i="4"/>
  <c r="B161" i="4"/>
  <c r="D158" i="4"/>
  <c r="C158" i="4"/>
  <c r="B158" i="4"/>
  <c r="D157" i="4"/>
  <c r="C157" i="4"/>
  <c r="B157" i="4"/>
  <c r="B156" i="4"/>
  <c r="D155" i="4"/>
  <c r="C155" i="4"/>
  <c r="B155" i="4"/>
  <c r="D153" i="4"/>
  <c r="C153" i="4"/>
  <c r="B153" i="4"/>
  <c r="D150" i="4"/>
  <c r="C150" i="4"/>
  <c r="B150" i="4"/>
  <c r="D149" i="4"/>
  <c r="C149" i="4"/>
  <c r="B149" i="4"/>
  <c r="D148" i="4"/>
  <c r="C148" i="4"/>
  <c r="B148" i="4"/>
  <c r="D146" i="4"/>
  <c r="C146" i="4"/>
  <c r="B146" i="4"/>
  <c r="D145" i="4"/>
  <c r="D144" i="4"/>
  <c r="C144" i="4"/>
  <c r="B144" i="4"/>
  <c r="D140" i="4"/>
  <c r="C140" i="4"/>
  <c r="B140" i="4"/>
  <c r="D139" i="4"/>
  <c r="C139" i="4"/>
  <c r="B139" i="4"/>
  <c r="D135" i="4"/>
  <c r="C135" i="4"/>
  <c r="B135" i="4"/>
  <c r="D133" i="4"/>
  <c r="C133" i="4"/>
  <c r="B133" i="4"/>
  <c r="D132" i="4"/>
  <c r="C132" i="4"/>
  <c r="B132" i="4"/>
  <c r="D130" i="4"/>
  <c r="C130" i="4"/>
  <c r="B130" i="4"/>
  <c r="D129" i="4"/>
  <c r="C129" i="4"/>
  <c r="B129" i="4"/>
  <c r="D126" i="4"/>
  <c r="C126" i="4"/>
  <c r="B126" i="4"/>
  <c r="D125" i="4"/>
  <c r="C125" i="4"/>
  <c r="B125" i="4"/>
  <c r="D122" i="4"/>
  <c r="C122" i="4"/>
  <c r="B122" i="4"/>
  <c r="D120" i="4"/>
  <c r="C120" i="4"/>
  <c r="B120" i="4"/>
  <c r="D119" i="4"/>
  <c r="C119" i="4"/>
  <c r="B119" i="4"/>
  <c r="B118" i="4"/>
  <c r="D115" i="4"/>
  <c r="C115" i="4"/>
  <c r="B115" i="4"/>
  <c r="D114" i="4"/>
  <c r="C114" i="4"/>
  <c r="B114" i="4"/>
  <c r="D113" i="4"/>
  <c r="C113" i="4"/>
  <c r="B113" i="4"/>
  <c r="D109" i="4"/>
  <c r="C109" i="4"/>
  <c r="B109" i="4"/>
  <c r="D108" i="4"/>
  <c r="C108" i="4"/>
  <c r="B108" i="4"/>
  <c r="D106" i="4"/>
  <c r="C106" i="4"/>
  <c r="B106" i="4"/>
  <c r="D104" i="4"/>
  <c r="C104" i="4"/>
  <c r="B104" i="4"/>
  <c r="D102" i="4"/>
  <c r="C102" i="4"/>
  <c r="B102" i="4"/>
  <c r="D100" i="4"/>
  <c r="C100" i="4"/>
  <c r="B100" i="4"/>
  <c r="D99" i="4"/>
  <c r="C99" i="4"/>
  <c r="B99" i="4"/>
  <c r="D96" i="4"/>
  <c r="C96" i="4"/>
  <c r="B96" i="4"/>
  <c r="D95" i="4"/>
  <c r="C95" i="4"/>
  <c r="B95" i="4"/>
  <c r="D93" i="4"/>
  <c r="C93" i="4"/>
  <c r="B93" i="4"/>
  <c r="D91" i="4"/>
  <c r="C91" i="4"/>
  <c r="B91" i="4"/>
  <c r="D90" i="4"/>
  <c r="C90" i="4"/>
  <c r="B90" i="4"/>
  <c r="D87" i="4"/>
  <c r="C87" i="4"/>
  <c r="B87" i="4"/>
  <c r="D84" i="4"/>
  <c r="C84" i="4"/>
  <c r="B84" i="4"/>
  <c r="D82" i="4"/>
  <c r="C82" i="4"/>
  <c r="B82" i="4"/>
  <c r="D81" i="4"/>
  <c r="C81" i="4"/>
  <c r="B81" i="4"/>
  <c r="D78" i="4"/>
  <c r="C78" i="4"/>
  <c r="B78" i="4"/>
  <c r="D76" i="4"/>
  <c r="C76" i="4"/>
  <c r="B76" i="4"/>
  <c r="D74" i="4"/>
  <c r="C74" i="4"/>
  <c r="B74" i="4"/>
  <c r="D73" i="4"/>
  <c r="C73" i="4"/>
  <c r="B73" i="4"/>
  <c r="D70" i="4"/>
  <c r="C70" i="4"/>
  <c r="B70" i="4"/>
  <c r="D68" i="4"/>
  <c r="C68" i="4"/>
  <c r="B68" i="4"/>
  <c r="D66" i="4"/>
  <c r="C66" i="4"/>
  <c r="B66" i="4"/>
  <c r="D65" i="4"/>
  <c r="C65" i="4"/>
  <c r="B65" i="4"/>
  <c r="D63" i="4"/>
  <c r="C63" i="4"/>
  <c r="B63" i="4"/>
  <c r="D61" i="4"/>
  <c r="C61" i="4"/>
  <c r="B61" i="4"/>
  <c r="D60" i="4"/>
  <c r="C60" i="4"/>
  <c r="B60" i="4"/>
  <c r="D56" i="4"/>
  <c r="C56" i="4"/>
  <c r="B56" i="4"/>
  <c r="D55" i="4"/>
  <c r="C55" i="4"/>
  <c r="B55" i="4"/>
  <c r="D53" i="4"/>
  <c r="C53" i="4"/>
  <c r="B53" i="4"/>
  <c r="D52" i="4"/>
  <c r="C52" i="4"/>
  <c r="B52" i="4"/>
  <c r="D49" i="4"/>
  <c r="C49" i="4"/>
  <c r="B49" i="4"/>
  <c r="D46" i="4"/>
  <c r="C46" i="4"/>
  <c r="B46" i="4"/>
  <c r="D45" i="4"/>
  <c r="C45" i="4"/>
  <c r="B45" i="4"/>
  <c r="D43" i="4"/>
  <c r="C43" i="4"/>
  <c r="B43" i="4"/>
  <c r="D42" i="4"/>
  <c r="D39" i="4"/>
  <c r="C39" i="4"/>
  <c r="B39" i="4"/>
  <c r="D38" i="4"/>
  <c r="C38" i="4"/>
  <c r="B38" i="4"/>
  <c r="D36" i="4"/>
  <c r="C36" i="4"/>
  <c r="B36" i="4"/>
  <c r="B35" i="4"/>
  <c r="D34" i="4"/>
  <c r="C34" i="4"/>
  <c r="B34" i="4"/>
  <c r="D32" i="4"/>
  <c r="C32" i="4"/>
  <c r="B32" i="4"/>
  <c r="D31" i="4"/>
  <c r="C31" i="4"/>
  <c r="B31" i="4"/>
  <c r="D29" i="4"/>
  <c r="C29" i="4"/>
  <c r="B29" i="4"/>
  <c r="D28" i="4"/>
  <c r="C28" i="4"/>
  <c r="B28" i="4"/>
  <c r="D26" i="4"/>
  <c r="C26" i="4"/>
  <c r="B26" i="4"/>
  <c r="B23" i="4"/>
  <c r="D22" i="4"/>
  <c r="C22" i="4"/>
  <c r="B22" i="4"/>
  <c r="D20" i="4"/>
  <c r="C20" i="4"/>
  <c r="B20" i="4"/>
  <c r="D17" i="4"/>
  <c r="C17" i="4"/>
  <c r="B17" i="4"/>
  <c r="D15" i="4"/>
  <c r="C15" i="4"/>
  <c r="B15" i="4"/>
  <c r="D14" i="4"/>
  <c r="C14" i="4"/>
  <c r="B14" i="4"/>
  <c r="D12" i="4"/>
  <c r="C12" i="4"/>
  <c r="B12" i="4"/>
  <c r="D9" i="4"/>
  <c r="C9" i="4"/>
  <c r="B9" i="4"/>
  <c r="D7" i="4"/>
  <c r="C7" i="4"/>
  <c r="B7" i="4"/>
  <c r="D5" i="4"/>
  <c r="C5" i="4"/>
  <c r="B5" i="4"/>
  <c r="D4" i="4"/>
  <c r="C4" i="4"/>
  <c r="B4" i="4"/>
  <c r="D3" i="4"/>
  <c r="C3" i="4"/>
  <c r="B3" i="4"/>
  <c r="D2" i="4"/>
  <c r="C2" i="4"/>
  <c r="B2" i="4"/>
  <c r="D261" i="3" l="1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D261" i="2" l="1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<sst xmlns="http://schemas.openxmlformats.org/spreadsheetml/2006/main" count="1945" uniqueCount="1002">
  <si>
    <t>Match up</t>
  </si>
  <si>
    <t>result</t>
  </si>
  <si>
    <t>(4-2)</t>
  </si>
  <si>
    <t>Points allowed/Game</t>
  </si>
  <si>
    <t>Point scored/Game</t>
  </si>
  <si>
    <t>96.7-101.0</t>
  </si>
  <si>
    <t>89.6-94.4</t>
  </si>
  <si>
    <t>W/L %</t>
  </si>
  <si>
    <t>0.756-0.756</t>
  </si>
  <si>
    <t>Regular season matchup result</t>
  </si>
  <si>
    <t>(0-2)</t>
  </si>
  <si>
    <t>Chicago Bulls - Utah Jazz</t>
  </si>
  <si>
    <t>Chicago Bulls - Indiana Pacers</t>
  </si>
  <si>
    <t>(4-3)</t>
  </si>
  <si>
    <t>0.756-0.707</t>
  </si>
  <si>
    <t>96.7-96.0</t>
  </si>
  <si>
    <t>89.6-89.9</t>
  </si>
  <si>
    <t>(2-2)</t>
  </si>
  <si>
    <t>Utah Jazz - Los Angeles Lakers</t>
  </si>
  <si>
    <t>(4-0)</t>
  </si>
  <si>
    <t>0.756-0.744</t>
  </si>
  <si>
    <t>101.0-105.5</t>
  </si>
  <si>
    <t>94.4-97.8</t>
  </si>
  <si>
    <t>(1-3)</t>
  </si>
  <si>
    <t>Chicago Bulls - Charlotte Hornets</t>
  </si>
  <si>
    <t>(4-1)</t>
  </si>
  <si>
    <t>Indiana Pacers - New York Knicks</t>
  </si>
  <si>
    <t>Los Angeles Lakers - Seattle SuperSonics</t>
  </si>
  <si>
    <t>Utah Jazz - San Antonio Spurs</t>
  </si>
  <si>
    <t>0.756-0.622</t>
  </si>
  <si>
    <t>96.7-96.6</t>
  </si>
  <si>
    <t>89.6-94.6</t>
  </si>
  <si>
    <t>(3-1)</t>
  </si>
  <si>
    <t>(2-1)</t>
  </si>
  <si>
    <t>0.756-0.683</t>
  </si>
  <si>
    <t>101.0-92.5</t>
  </si>
  <si>
    <t>94.4-88.5</t>
  </si>
  <si>
    <t>0.707-0.524</t>
  </si>
  <si>
    <t>96.0-91.6</t>
  </si>
  <si>
    <t>89.9-89.1</t>
  </si>
  <si>
    <t>0.744-0.744</t>
  </si>
  <si>
    <t>105.5-100.6</t>
  </si>
  <si>
    <t>97.8-93.4</t>
  </si>
  <si>
    <t>San Antonio Spurs - New York Knicks</t>
  </si>
  <si>
    <t>New York Knicks - Indiana Pacers</t>
  </si>
  <si>
    <t>San Antonio Spurs - Portland Trail Blazers</t>
  </si>
  <si>
    <t>Indiana Pacers - Philadelphia 76ers</t>
  </si>
  <si>
    <t>New York Knicks - Atlanta Hawks</t>
  </si>
  <si>
    <t>Portland Trail Blazers - Utah Jazz</t>
  </si>
  <si>
    <t>San Antonio Spurs - Los Angeles Lakers</t>
  </si>
  <si>
    <t>0.740-0.540</t>
  </si>
  <si>
    <t>92.8-86.4</t>
  </si>
  <si>
    <t>84.7-85.4</t>
  </si>
  <si>
    <t>0.540-0.660</t>
  </si>
  <si>
    <t>86.4-94.7</t>
  </si>
  <si>
    <t>85.4-90.9</t>
  </si>
  <si>
    <t>0.740-0.700</t>
  </si>
  <si>
    <t>92.8-94.8</t>
  </si>
  <si>
    <t>84.7-88.5</t>
  </si>
  <si>
    <t>0.660-0.560</t>
  </si>
  <si>
    <t>94.7-89.7</t>
  </si>
  <si>
    <t>90.9-87.6</t>
  </si>
  <si>
    <t>0.540-0.620</t>
  </si>
  <si>
    <t>86.4-86.3</t>
  </si>
  <si>
    <t>85.4-83.4</t>
  </si>
  <si>
    <t>0.700-0.740</t>
  </si>
  <si>
    <t>94.8-93.3</t>
  </si>
  <si>
    <t>88.5-86.8</t>
  </si>
  <si>
    <t>0.740-0.620</t>
  </si>
  <si>
    <t>92.8-99.0</t>
  </si>
  <si>
    <t>84.7-96.0</t>
  </si>
  <si>
    <t>(0-0)</t>
  </si>
  <si>
    <t>(3-0)</t>
  </si>
  <si>
    <t>(1-2)</t>
  </si>
  <si>
    <t>1999-00 season</t>
  </si>
  <si>
    <t>1998-99 season</t>
  </si>
  <si>
    <t>1997-98 season</t>
  </si>
  <si>
    <t>Los Angeles Lakers - Indiana Pacers</t>
  </si>
  <si>
    <t>Los Angeles Lakers - Portland Trail Blazers</t>
  </si>
  <si>
    <t>New York Knicks - Miami Heat</t>
  </si>
  <si>
    <t>Los Angeles Lakers - Phoenix Suns</t>
  </si>
  <si>
    <t>0.683-0.598</t>
  </si>
  <si>
    <t>101.3-94.8</t>
  </si>
  <si>
    <t>96.7-93.4</t>
  </si>
  <si>
    <t>0.610-0.634</t>
  </si>
  <si>
    <t>92.1-94.4</t>
  </si>
  <si>
    <t>90.7-91.3</t>
  </si>
  <si>
    <t>0.817-0.646</t>
  </si>
  <si>
    <t>100.8-98.9</t>
  </si>
  <si>
    <t>92.3-93.7</t>
  </si>
  <si>
    <t>0.720-0.671</t>
  </si>
  <si>
    <t>97.5-96.5</t>
  </si>
  <si>
    <t>91.0-92.0</t>
  </si>
  <si>
    <t>0.817-0.720</t>
  </si>
  <si>
    <t>100.8-97.5</t>
  </si>
  <si>
    <t>92.3-91.0</t>
  </si>
  <si>
    <t>0.683-0.610</t>
  </si>
  <si>
    <t>101.3-92.1</t>
  </si>
  <si>
    <t>96.7-90.7</t>
  </si>
  <si>
    <t>0.817-0.683</t>
  </si>
  <si>
    <t>100.8-101.3</t>
  </si>
  <si>
    <t>92.3-96.7</t>
  </si>
  <si>
    <t>(1-1)</t>
  </si>
  <si>
    <t>2000-01 season</t>
  </si>
  <si>
    <t>Los Angeles Lakers - Philadelphia 76ers</t>
  </si>
  <si>
    <t>Philadelphia 76ers - Milwaukee Bucks</t>
  </si>
  <si>
    <t>Los Angeles Lakers - San Antonio Spurs</t>
  </si>
  <si>
    <t>Milwaukee Bucks - Charlotte Hornets</t>
  </si>
  <si>
    <t>Philadelphia 76ers - Toronto Raptors</t>
  </si>
  <si>
    <t>Los Angeles Lakers - Sacramento Kings</t>
  </si>
  <si>
    <t>San Antonio Spurs - Dallas Mavericks</t>
  </si>
  <si>
    <t>0.634-0.561</t>
  </si>
  <si>
    <t>100.7-91.9</t>
  </si>
  <si>
    <t>96.9-89.8</t>
  </si>
  <si>
    <t>0.683-0.573</t>
  </si>
  <si>
    <t>94.7-97.6</t>
  </si>
  <si>
    <t>90.4-95.4</t>
  </si>
  <si>
    <t>0.683-0.671</t>
  </si>
  <si>
    <t>100.6-101.7</t>
  </si>
  <si>
    <t>97.2-95.9</t>
  </si>
  <si>
    <t>0.707-0.646</t>
  </si>
  <si>
    <t>96.2-100.5</t>
  </si>
  <si>
    <t>88.4-96.2</t>
  </si>
  <si>
    <t>0.683-0.683</t>
  </si>
  <si>
    <t>100.6-94.7</t>
  </si>
  <si>
    <t>97.2-90.4</t>
  </si>
  <si>
    <t>0.683-0.634</t>
  </si>
  <si>
    <t>94.7-100.7</t>
  </si>
  <si>
    <t>90.4-96.9</t>
  </si>
  <si>
    <t>0.683-0.707</t>
  </si>
  <si>
    <t>100.6-96.2</t>
  </si>
  <si>
    <t>97.2-88.4</t>
  </si>
  <si>
    <t>2001-02 season</t>
  </si>
  <si>
    <t>Los Angeles Lakers - New Jersey Nets</t>
  </si>
  <si>
    <t>New Jersey Nets - Boston Celtics</t>
  </si>
  <si>
    <t>Boston Celtics - Detroit Pistons</t>
  </si>
  <si>
    <t>New Jersey Nets - Charlotte Hornets</t>
  </si>
  <si>
    <t>Sacramento Kings - Dallas Mavericks</t>
  </si>
  <si>
    <t>0.707-0.634</t>
  </si>
  <si>
    <t>101.3-96.2</t>
  </si>
  <si>
    <t>94.1-92.0</t>
  </si>
  <si>
    <t>0.634-0.598</t>
  </si>
  <si>
    <t>92.0-94.1</t>
  </si>
  <si>
    <t>0.707-0.744</t>
  </si>
  <si>
    <t>101.3-104.6</t>
  </si>
  <si>
    <t>94.1-97.0</t>
  </si>
  <si>
    <t>0.598-0.610</t>
  </si>
  <si>
    <t>96.4-94.3</t>
  </si>
  <si>
    <t>94.1-92.2</t>
  </si>
  <si>
    <t>0.634-0.537</t>
  </si>
  <si>
    <t>96.2-93.9</t>
  </si>
  <si>
    <t>92.0-92.9</t>
  </si>
  <si>
    <t>0.707-0.707</t>
  </si>
  <si>
    <t>101.3-96.7</t>
  </si>
  <si>
    <t>94.1-90.5</t>
  </si>
  <si>
    <t>0.744-0.695</t>
  </si>
  <si>
    <t>104.6-105.2</t>
  </si>
  <si>
    <t>97.0-101.0</t>
  </si>
  <si>
    <t>2002-03 season</t>
  </si>
  <si>
    <t>San Antonio Spurs - New Jersey Nets</t>
  </si>
  <si>
    <t>New Jersey Nets - Detroit Pistons</t>
  </si>
  <si>
    <t>Detroit Pistons - Philadelphia 76ers</t>
  </si>
  <si>
    <t>Dallas Mavericks - Sacramento Kings</t>
  </si>
  <si>
    <t>Boston Celtics - Indiana Pacers</t>
  </si>
  <si>
    <t>Detroit Pistons - Orlando Magic</t>
  </si>
  <si>
    <t>New Jersey Nets - Milwaukee Bucks</t>
  </si>
  <si>
    <t>Philadelphia 76ers - New Orleans Hornets</t>
  </si>
  <si>
    <t>Dallas Mavericks - Portland Trail Blazers</t>
  </si>
  <si>
    <t>Los Angeles Lakers - Minnesota Timberwolves</t>
  </si>
  <si>
    <t>Sacramento Kings - Utah Jazz</t>
  </si>
  <si>
    <t>San Antonio Spurs - Phoenix Suns</t>
  </si>
  <si>
    <t>0.732-0.598</t>
  </si>
  <si>
    <t>95.8-95.4</t>
  </si>
  <si>
    <t>90.4-90.1</t>
  </si>
  <si>
    <t>95.4-91.4</t>
  </si>
  <si>
    <t>90.1-87.7</t>
  </si>
  <si>
    <t>0.732-0.732</t>
  </si>
  <si>
    <t>95.8-103.0</t>
  </si>
  <si>
    <t>90.4-95.2</t>
  </si>
  <si>
    <t>0.610-0.585</t>
  </si>
  <si>
    <t>91.4-96.8</t>
  </si>
  <si>
    <t>87.7-94.5</t>
  </si>
  <si>
    <t>0.598-0.537</t>
  </si>
  <si>
    <t>95.4-92.7</t>
  </si>
  <si>
    <t>90.1-93.1</t>
  </si>
  <si>
    <t>0.732-0.720</t>
  </si>
  <si>
    <t>103.0-101.7</t>
  </si>
  <si>
    <t>95.2-95.2</t>
  </si>
  <si>
    <t>0.732-0.610</t>
  </si>
  <si>
    <t>95.8-100.4</t>
  </si>
  <si>
    <t>90.4-98.0</t>
  </si>
  <si>
    <t>0.537-0.585</t>
  </si>
  <si>
    <t>92.7-96.8</t>
  </si>
  <si>
    <t>93.1-93.3</t>
  </si>
  <si>
    <t>0.610-0.512</t>
  </si>
  <si>
    <t>91.4-98.5</t>
  </si>
  <si>
    <t>87.7-98.4</t>
  </si>
  <si>
    <t>0.598-0.512</t>
  </si>
  <si>
    <t>95.4-99.5</t>
  </si>
  <si>
    <t>90.1-99.3</t>
  </si>
  <si>
    <t>0.585-0.573</t>
  </si>
  <si>
    <t>96.8-93.9</t>
  </si>
  <si>
    <t>94.5-91.8</t>
  </si>
  <si>
    <t>103.0-95.2</t>
  </si>
  <si>
    <t>95.2-92.5</t>
  </si>
  <si>
    <t>0.610-0.622</t>
  </si>
  <si>
    <t>100.4-98.1</t>
  </si>
  <si>
    <t>98.0-96.0</t>
  </si>
  <si>
    <t>0.720-0.573</t>
  </si>
  <si>
    <t>101.7-94.7</t>
  </si>
  <si>
    <t>95.2-92.3</t>
  </si>
  <si>
    <t>0.732-0.537</t>
  </si>
  <si>
    <t>95.8-95.5</t>
  </si>
  <si>
    <t>90.4-94.4</t>
  </si>
  <si>
    <t>2003-04 season</t>
  </si>
  <si>
    <t>Detroit Pistons - Los Angeles Lakers</t>
  </si>
  <si>
    <t>Detroit Pistons - Indiana Pacers</t>
  </si>
  <si>
    <t>Detroit Pistons - New Jersey Nets</t>
  </si>
  <si>
    <t>Indiana Pacers - Miami Heat</t>
  </si>
  <si>
    <t>Minnesota Timberwolves - Sacramento Kings</t>
  </si>
  <si>
    <t>Detroit Pistons - Milwaukee Bucks</t>
  </si>
  <si>
    <t>Indiana Pacers - Boston Celtics</t>
  </si>
  <si>
    <t>Miami Heat - New Orleans Hornets</t>
  </si>
  <si>
    <t>New Jersey Nets - New York Knicks</t>
  </si>
  <si>
    <t>Los Angeles Lakers - Houston Rockets</t>
  </si>
  <si>
    <t>Minnesota timberwolves - Denver Nuggets</t>
  </si>
  <si>
    <t>San Antonio Spurs - Memphis Grizzlies</t>
  </si>
  <si>
    <t>0.659-0.683</t>
  </si>
  <si>
    <t>90.1-98.2</t>
  </si>
  <si>
    <t>84.3-94.3</t>
  </si>
  <si>
    <t>0.659-0.744</t>
  </si>
  <si>
    <t>90.1-91.4</t>
  </si>
  <si>
    <t>84.3-85.6</t>
  </si>
  <si>
    <t>98.2-94.5</t>
  </si>
  <si>
    <t>94.3-89.1</t>
  </si>
  <si>
    <t>0.659-0.573</t>
  </si>
  <si>
    <t>90.1-90.3</t>
  </si>
  <si>
    <t>84.3-87.8</t>
  </si>
  <si>
    <t>0.744-0.512</t>
  </si>
  <si>
    <t>91.4-90.3</t>
  </si>
  <si>
    <t>85.6-89.7</t>
  </si>
  <si>
    <t>0.683-0.695</t>
  </si>
  <si>
    <t>98.2-91.5</t>
  </si>
  <si>
    <t>94.3-84.3</t>
  </si>
  <si>
    <t>0.707-0.671</t>
  </si>
  <si>
    <t>94.5-102.8</t>
  </si>
  <si>
    <t>89.1-97.8</t>
  </si>
  <si>
    <t>0.659-0.500</t>
  </si>
  <si>
    <t>90.1-98.0</t>
  </si>
  <si>
    <t>84.3-97.0</t>
  </si>
  <si>
    <t>0.744-0.439</t>
  </si>
  <si>
    <t>91.4-95.3</t>
  </si>
  <si>
    <t>85.6-96.7</t>
  </si>
  <si>
    <t>0.512-0.500</t>
  </si>
  <si>
    <t>90.3-91.8</t>
  </si>
  <si>
    <t>89.7-91.9</t>
  </si>
  <si>
    <t>0.573-0.476</t>
  </si>
  <si>
    <t>90.3-92.0</t>
  </si>
  <si>
    <t>87.8-93.5</t>
  </si>
  <si>
    <t>0.683-0.549</t>
  </si>
  <si>
    <t>98.2-89.8</t>
  </si>
  <si>
    <t>94.3-88.0</t>
  </si>
  <si>
    <t>94.5-97.2</t>
  </si>
  <si>
    <t>89.1-96.1</t>
  </si>
  <si>
    <t>0.671-0.634</t>
  </si>
  <si>
    <t>102.8-105.2</t>
  </si>
  <si>
    <t>97.8-100.8</t>
  </si>
  <si>
    <t>0.695-0.610</t>
  </si>
  <si>
    <t>91.5-96.7</t>
  </si>
  <si>
    <t>2004-05 season</t>
  </si>
  <si>
    <t>San Antonio Spurs - Detroit Pistons</t>
  </si>
  <si>
    <t>Detroit Pistons - Miami Heat</t>
  </si>
  <si>
    <t>Miami Heat - Washington Wizards</t>
  </si>
  <si>
    <t>Phoenix Suns - Dallas Mavericks</t>
  </si>
  <si>
    <t>San Antonio Spurs - Seattle SuperSonics</t>
  </si>
  <si>
    <t>Miami Heat - New Jersey Nets</t>
  </si>
  <si>
    <t>Washington Wizards - Chicago Bulls</t>
  </si>
  <si>
    <t>Dallas Mavericks - Houston Rockets</t>
  </si>
  <si>
    <t>Phoenix Suns - Memphis Grizzlies</t>
  </si>
  <si>
    <t>San Antonio Spurs - Denver Nuggets</t>
  </si>
  <si>
    <t>Seattle SuperSonics - Sacramento Kings</t>
  </si>
  <si>
    <t>0.720-0.659</t>
  </si>
  <si>
    <t>96.2-93.3</t>
  </si>
  <si>
    <t>88.4-89.5</t>
  </si>
  <si>
    <t>0.659-0.720</t>
  </si>
  <si>
    <t>93.3-101.5</t>
  </si>
  <si>
    <t>89.5-95.0</t>
  </si>
  <si>
    <t>0.720-0.756</t>
  </si>
  <si>
    <t>96.2-110.4</t>
  </si>
  <si>
    <t>88.4-103.3</t>
  </si>
  <si>
    <t>0.659-0.537</t>
  </si>
  <si>
    <t>93.3-93.0</t>
  </si>
  <si>
    <t>89.5-92.2</t>
  </si>
  <si>
    <t>0.720-0.549</t>
  </si>
  <si>
    <t>101.5-100.5</t>
  </si>
  <si>
    <t>95.0-100.8</t>
  </si>
  <si>
    <t>110.4-102.5</t>
  </si>
  <si>
    <t>103.3-96.8</t>
  </si>
  <si>
    <t>0.720-0.634</t>
  </si>
  <si>
    <t>96.2-98.9</t>
  </si>
  <si>
    <t>88.4-96.6</t>
  </si>
  <si>
    <t>0.659-0.524</t>
  </si>
  <si>
    <t>93.3-99.1</t>
  </si>
  <si>
    <t>89.5-99.9</t>
  </si>
  <si>
    <t>0.537-0.549</t>
  </si>
  <si>
    <t>93.0-101.3</t>
  </si>
  <si>
    <t>92.2-100.4</t>
  </si>
  <si>
    <t>0.720-0.512</t>
  </si>
  <si>
    <t>101.5-91.4</t>
  </si>
  <si>
    <t>95.0-92.9</t>
  </si>
  <si>
    <t>0.549-0.573</t>
  </si>
  <si>
    <t>100.5-94.5</t>
  </si>
  <si>
    <t>100.8-93.4</t>
  </si>
  <si>
    <t>0.707-0.622</t>
  </si>
  <si>
    <t>102.5-95.1</t>
  </si>
  <si>
    <t>96.8-91.0</t>
  </si>
  <si>
    <t>0.756-0.549</t>
  </si>
  <si>
    <t>110.4-93.4</t>
  </si>
  <si>
    <t>103.3-91.1</t>
  </si>
  <si>
    <t>0.720-0.598</t>
  </si>
  <si>
    <t>96.2-99.5</t>
  </si>
  <si>
    <t>88.4-97.5</t>
  </si>
  <si>
    <t>0.634-0.610</t>
  </si>
  <si>
    <t>98.9-103.7</t>
  </si>
  <si>
    <t>96.6-101.6</t>
  </si>
  <si>
    <t>(0-3)</t>
  </si>
  <si>
    <t>2005-06 season</t>
  </si>
  <si>
    <t>Miami Heat - Dallas Mavericks</t>
  </si>
  <si>
    <t>Miami Heat - Detroit Pistons</t>
  </si>
  <si>
    <t>Dallas Mavericks - Phoenix Suns</t>
  </si>
  <si>
    <t>Detroit Pistons - Cleveland Cavaliers</t>
  </si>
  <si>
    <t>Dallas Mavericks - San Antonio Spurs</t>
  </si>
  <si>
    <t>Phoenix Suns - Los Angeles Clippers</t>
  </si>
  <si>
    <t>Cleveland Cavaliers - Washington Wizards</t>
  </si>
  <si>
    <t>Miami Heat - Chicago Bulls</t>
  </si>
  <si>
    <t>New Jersey Nets - Indiana Pacers</t>
  </si>
  <si>
    <t>Dallas Mavericks - Memphis Grizzlies</t>
  </si>
  <si>
    <t>Los Angeles Clippers - Denver Nuggets</t>
  </si>
  <si>
    <t>Phoenix Suns - Los Angeles Lakers</t>
  </si>
  <si>
    <t>San Antonio Spurs - Sacramento Kings</t>
  </si>
  <si>
    <t>0.634-0.732</t>
  </si>
  <si>
    <t>99.9-99.1</t>
  </si>
  <si>
    <t>96.0-93.1</t>
  </si>
  <si>
    <t>0.634-0.780</t>
  </si>
  <si>
    <t>99.9-96.8</t>
  </si>
  <si>
    <t>96.0-90.2</t>
  </si>
  <si>
    <t>0.732-0.659</t>
  </si>
  <si>
    <t>99.1-108.4</t>
  </si>
  <si>
    <t>93.1-102.8</t>
  </si>
  <si>
    <t>0.780-0.610</t>
  </si>
  <si>
    <t>96.8-97.6</t>
  </si>
  <si>
    <t>90.2-95.4</t>
  </si>
  <si>
    <t>99.9-93.8</t>
  </si>
  <si>
    <t>96.0-92.4</t>
  </si>
  <si>
    <t>0.732-0.768</t>
  </si>
  <si>
    <t>99.1-95.6</t>
  </si>
  <si>
    <t>93.1-88.8</t>
  </si>
  <si>
    <t>108.4-97.2</t>
  </si>
  <si>
    <t>102.8-95.6</t>
  </si>
  <si>
    <t>97.6-101.7</t>
  </si>
  <si>
    <t>95.4-99.8</t>
  </si>
  <si>
    <t>0.780-0.488</t>
  </si>
  <si>
    <t>96.8-97.8</t>
  </si>
  <si>
    <t>90.2-98.8</t>
  </si>
  <si>
    <t>0.634-0.500</t>
  </si>
  <si>
    <t>99.9-97.8</t>
  </si>
  <si>
    <t>96.0-97.2</t>
  </si>
  <si>
    <t>0.598-0.500</t>
  </si>
  <si>
    <t>93.8-93.9</t>
  </si>
  <si>
    <t>92.4-92.0</t>
  </si>
  <si>
    <t>99.1-92.2</t>
  </si>
  <si>
    <t>93.1-88.5</t>
  </si>
  <si>
    <t>0.573-0.537</t>
  </si>
  <si>
    <t>97.2-100.3</t>
  </si>
  <si>
    <t>95.6-100.1</t>
  </si>
  <si>
    <t>0.659-0.549</t>
  </si>
  <si>
    <t>108.4-99.4</t>
  </si>
  <si>
    <t>102.8-96.9</t>
  </si>
  <si>
    <t>0.768-0.537</t>
  </si>
  <si>
    <t>95.6-98.9</t>
  </si>
  <si>
    <t>88.8-97.3</t>
  </si>
  <si>
    <t>(2-0)</t>
  </si>
  <si>
    <t>2006-07 season</t>
  </si>
  <si>
    <t>San Antonio Spurs - Cleveland Cavaliers</t>
  </si>
  <si>
    <t>Cleveland Cavaliers - Detroit Pistons</t>
  </si>
  <si>
    <t>San Antonio Spurs - Utah Jazz</t>
  </si>
  <si>
    <t>Cleveland Cavaliers - New Jersey Nets</t>
  </si>
  <si>
    <t>Detroit Pistons - Chicago Bulls</t>
  </si>
  <si>
    <t>Utah Jazz - Golden State Warriors</t>
  </si>
  <si>
    <t>Chicago Bulls - Miami Heat</t>
  </si>
  <si>
    <t>New Jersey Nets - Toronto Raptors</t>
  </si>
  <si>
    <t>Golden State Warriors - Dallas Mavericks</t>
  </si>
  <si>
    <t>Utah Jazz - Houston Rockets</t>
  </si>
  <si>
    <t>0.707-0.610</t>
  </si>
  <si>
    <t>98.5-96.8</t>
  </si>
  <si>
    <t>90.1-92.9</t>
  </si>
  <si>
    <t>0.610-0.646</t>
  </si>
  <si>
    <t>96.8-96.0</t>
  </si>
  <si>
    <t>92.9-91.8</t>
  </si>
  <si>
    <t>98.5-101.5</t>
  </si>
  <si>
    <t>90.1-98.6</t>
  </si>
  <si>
    <t>0.610-0.500</t>
  </si>
  <si>
    <t>92.9-98.3</t>
  </si>
  <si>
    <t>0.646-0.598</t>
  </si>
  <si>
    <t>96.0-98.8</t>
  </si>
  <si>
    <t>91.8-93.8</t>
  </si>
  <si>
    <t>98.5-110.2</t>
  </si>
  <si>
    <t>90.1-102.9</t>
  </si>
  <si>
    <t>0.622-0.512</t>
  </si>
  <si>
    <t>101.5-106.5</t>
  </si>
  <si>
    <t>98.6-106.9</t>
  </si>
  <si>
    <t>98.8-94.6</t>
  </si>
  <si>
    <t>93.8-95.5</t>
  </si>
  <si>
    <t>96.8-104.3</t>
  </si>
  <si>
    <t>92.9-104.9</t>
  </si>
  <si>
    <t>0.646-0.488</t>
  </si>
  <si>
    <t>96.0-94.8</t>
  </si>
  <si>
    <t>91.8-94.0</t>
  </si>
  <si>
    <t>0.500-0.573</t>
  </si>
  <si>
    <t>97.6-99.5</t>
  </si>
  <si>
    <t>98.3-98.5</t>
  </si>
  <si>
    <t>0.512-0.817</t>
  </si>
  <si>
    <t>106.5-100.0</t>
  </si>
  <si>
    <t>106.9-92.8</t>
  </si>
  <si>
    <t>110.2-103.3</t>
  </si>
  <si>
    <t>102.9-103.4</t>
  </si>
  <si>
    <t>0.707-0.549</t>
  </si>
  <si>
    <t>98.5-105.4</t>
  </si>
  <si>
    <t>90.1-103.7</t>
  </si>
  <si>
    <t>0.622-0.634</t>
  </si>
  <si>
    <t>101.5-97.0</t>
  </si>
  <si>
    <t>98.6-92.1</t>
  </si>
  <si>
    <t>(0-4)</t>
  </si>
  <si>
    <t>2007-08 season</t>
  </si>
  <si>
    <t>Boston Celtics - Los Angeles Lakers</t>
  </si>
  <si>
    <t>Boston Celtics - Cleveland Cavaliers</t>
  </si>
  <si>
    <t>Los Angeles Lakers - Utah Jazz</t>
  </si>
  <si>
    <t>San Antonio Spurs - New Orleans Hornets</t>
  </si>
  <si>
    <t>Boston Celtics - Atlanta Hawks</t>
  </si>
  <si>
    <t>Orlando Magic - Toronto Raptors</t>
  </si>
  <si>
    <t>Los Angeles Lakers - Denver Nuggets</t>
  </si>
  <si>
    <t>New Orleans Hornets - Dallas Mavericks</t>
  </si>
  <si>
    <t>0.805-0.695</t>
  </si>
  <si>
    <t>100.5-108.6</t>
  </si>
  <si>
    <t>90.3-101.3</t>
  </si>
  <si>
    <t>0.805-0.720</t>
  </si>
  <si>
    <t>100.5-97.5</t>
  </si>
  <si>
    <t>90.3-90.1</t>
  </si>
  <si>
    <t>0.695-0.683</t>
  </si>
  <si>
    <t>108.6-95.4</t>
  </si>
  <si>
    <t>101.3-90.6</t>
  </si>
  <si>
    <t>0.805-0.549</t>
  </si>
  <si>
    <t>100.5-96.4</t>
  </si>
  <si>
    <t>90.3-96.7</t>
  </si>
  <si>
    <t>97.5-104.5</t>
  </si>
  <si>
    <t>90.1-99.0</t>
  </si>
  <si>
    <t>0.695-0.659</t>
  </si>
  <si>
    <t>108.6-106.2</t>
  </si>
  <si>
    <t>101.3-99.3</t>
  </si>
  <si>
    <t>95.4-100.9</t>
  </si>
  <si>
    <t>90.6-95.6</t>
  </si>
  <si>
    <t>0.805-0.451</t>
  </si>
  <si>
    <t>100.5-98.2</t>
  </si>
  <si>
    <t>90.3-100.0</t>
  </si>
  <si>
    <t>0.549-0.524</t>
  </si>
  <si>
    <t>96.4-98.8</t>
  </si>
  <si>
    <t>96.7-99.2</t>
  </si>
  <si>
    <t>0.720-0.488</t>
  </si>
  <si>
    <t>97.5-96.6</t>
  </si>
  <si>
    <t>90.1-96.2</t>
  </si>
  <si>
    <t>104.5-100.2</t>
  </si>
  <si>
    <t>99.0-97.3</t>
  </si>
  <si>
    <t>108.6-110.7</t>
  </si>
  <si>
    <t>101.3-107.0</t>
  </si>
  <si>
    <t>0.683-0.622</t>
  </si>
  <si>
    <t>100.9-100.4</t>
  </si>
  <si>
    <t>95.6-95.9</t>
  </si>
  <si>
    <t>95.4-110.1</t>
  </si>
  <si>
    <t>90.6-105.0</t>
  </si>
  <si>
    <t>0.659-0.671</t>
  </si>
  <si>
    <t>106.2-96.7</t>
  </si>
  <si>
    <t>99.3-92.0</t>
  </si>
  <si>
    <t>2008-09 season</t>
  </si>
  <si>
    <t>Los Angeles Lakers - Orlando Magic</t>
  </si>
  <si>
    <t>Orlando Magic - Cleveland Cavaliers</t>
  </si>
  <si>
    <t>Cleveland Cavaliers - Atlanta Hawks</t>
  </si>
  <si>
    <t>Orlando Magic - Boston Celtics</t>
  </si>
  <si>
    <t>Denver Nuggets - Dallas Mavericks</t>
  </si>
  <si>
    <t>Atlanta Hawks - Miami Heat</t>
  </si>
  <si>
    <t>Boston Celtics - Chicago Bulls</t>
  </si>
  <si>
    <t>Orlando Magic - Philadelphia 76ers</t>
  </si>
  <si>
    <t>Denver Nuggets - New Orleans Hornets</t>
  </si>
  <si>
    <t>Houston Rockets - Portland Trail Blazers</t>
  </si>
  <si>
    <t>0.793-0.720</t>
  </si>
  <si>
    <t>106.9-101.0</t>
  </si>
  <si>
    <t>99.3-94.4</t>
  </si>
  <si>
    <t>0.720-0.805</t>
  </si>
  <si>
    <t>101.0-100.3</t>
  </si>
  <si>
    <t>94.4-91.4</t>
  </si>
  <si>
    <t>0.793-0.659</t>
  </si>
  <si>
    <t>106.9-104.3</t>
  </si>
  <si>
    <t>99.3-100.9</t>
  </si>
  <si>
    <t>0.805-0.573</t>
  </si>
  <si>
    <t>100.3-98.1</t>
  </si>
  <si>
    <t>91.4-96.5</t>
  </si>
  <si>
    <t>101.0-100.9</t>
  </si>
  <si>
    <t>94.4-93.4</t>
  </si>
  <si>
    <t>0.659-0.610</t>
  </si>
  <si>
    <t>104.3-101.7</t>
  </si>
  <si>
    <t>100.9-99.8</t>
  </si>
  <si>
    <t>0.793-0.646</t>
  </si>
  <si>
    <t>106.9-98.4</t>
  </si>
  <si>
    <t>0.573-0.524</t>
  </si>
  <si>
    <t>98.1-98.3</t>
  </si>
  <si>
    <t>96.5-98.0</t>
  </si>
  <si>
    <t>0.756-0.500</t>
  </si>
  <si>
    <t>100.9-102.2</t>
  </si>
  <si>
    <t>93.4-102.5</t>
  </si>
  <si>
    <t>0.805-0.476</t>
  </si>
  <si>
    <t>100.3-94.2</t>
  </si>
  <si>
    <t>91.4-94.7</t>
  </si>
  <si>
    <t>0.720-0.500</t>
  </si>
  <si>
    <t>101.0-97.4</t>
  </si>
  <si>
    <t>94.4-97.3</t>
  </si>
  <si>
    <t>0.610-0.659</t>
  </si>
  <si>
    <t>101.7-97.0</t>
  </si>
  <si>
    <t>99.8-93.3</t>
  </si>
  <si>
    <t>0.659-0.598</t>
  </si>
  <si>
    <t>104.3-95.8</t>
  </si>
  <si>
    <t>100.9-94.3</t>
  </si>
  <si>
    <t>0.646-0.659</t>
  </si>
  <si>
    <t>98.4-99.4</t>
  </si>
  <si>
    <t>94.4-94.1</t>
  </si>
  <si>
    <t>0.793-0.585</t>
  </si>
  <si>
    <t>106.9-103.6</t>
  </si>
  <si>
    <t>2009-10 season</t>
  </si>
  <si>
    <t>Los Angeles Lakers - Boston Celtics</t>
  </si>
  <si>
    <t>Boston Celtics - Orlando Magic</t>
  </si>
  <si>
    <t>Orlando Magic - Atlanta Hawks</t>
  </si>
  <si>
    <t>Phoenix Suns - San Antonio Spurs</t>
  </si>
  <si>
    <t>Atlanta Hawks - Milwaukee Bucks</t>
  </si>
  <si>
    <t>Boston Celtics - Miami Heat</t>
  </si>
  <si>
    <t>Clevland Cavaliers - Chicago Bulls</t>
  </si>
  <si>
    <t>Orlando Magic - Charlotte Bobcats</t>
  </si>
  <si>
    <t>Los Angeles Lakers - Oklahoma City Thunder</t>
  </si>
  <si>
    <t>Phoenix Suns - Portland Trail Blazers</t>
  </si>
  <si>
    <t>Utah Jazz - Denver Nuggets</t>
  </si>
  <si>
    <t>101.7-99.2</t>
  </si>
  <si>
    <t>97.0-95.6</t>
  </si>
  <si>
    <t>0.610-0.720</t>
  </si>
  <si>
    <t>99.2-102.8</t>
  </si>
  <si>
    <t>95.6-95.3</t>
  </si>
  <si>
    <t>101.7-110.2</t>
  </si>
  <si>
    <t>97.0-105.3</t>
  </si>
  <si>
    <t>0.610-0.744</t>
  </si>
  <si>
    <t>99.2-102.1</t>
  </si>
  <si>
    <t>95.6-95.6</t>
  </si>
  <si>
    <t>0.720-0.646</t>
  </si>
  <si>
    <t>102.8-101.7</t>
  </si>
  <si>
    <t>95.3-97.0</t>
  </si>
  <si>
    <t>0.695-0.646</t>
  </si>
  <si>
    <t>101.7-104.2</t>
  </si>
  <si>
    <t>97.0-98.9</t>
  </si>
  <si>
    <t>110.2-101.4</t>
  </si>
  <si>
    <t>105.3-96.3</t>
  </si>
  <si>
    <t>0.646-0.561</t>
  </si>
  <si>
    <t>101.7-97.7</t>
  </si>
  <si>
    <t>97.0-96.0</t>
  </si>
  <si>
    <t>0.610-0.573</t>
  </si>
  <si>
    <t>99.2-96.5</t>
  </si>
  <si>
    <t>95.6-94.2</t>
  </si>
  <si>
    <t>0.744-0.500</t>
  </si>
  <si>
    <t>102.1-97.5</t>
  </si>
  <si>
    <t>95.6-99.1</t>
  </si>
  <si>
    <t>0.720-0.537</t>
  </si>
  <si>
    <t>102.8-95.3</t>
  </si>
  <si>
    <t>95.3-93.8</t>
  </si>
  <si>
    <t>101.7-101.5</t>
  </si>
  <si>
    <t>97.0-98.0</t>
  </si>
  <si>
    <t>110.2-98.1</t>
  </si>
  <si>
    <t>105.3-94.8</t>
  </si>
  <si>
    <t>0.610-0.671</t>
  </si>
  <si>
    <t>101.4-102.0</t>
  </si>
  <si>
    <t>96.3-99.3</t>
  </si>
  <si>
    <t>0.646-0.646</t>
  </si>
  <si>
    <t>104.2-106.5</t>
  </si>
  <si>
    <t>98.9-102.4</t>
  </si>
  <si>
    <t>2010-11 season</t>
  </si>
  <si>
    <t>Dallas Mavericks - Miami Heat</t>
  </si>
  <si>
    <t>Dallas Mavericks - Oklahoma City Thunder</t>
  </si>
  <si>
    <t>Chicago Bulls - Atlanta Hawks</t>
  </si>
  <si>
    <t>Miami Heat - Boston Celtics</t>
  </si>
  <si>
    <t>Dallas Mavericks - Los Angeles Lakers</t>
  </si>
  <si>
    <t>Oklahoma City Thunder - Memphis Grizzlies</t>
  </si>
  <si>
    <t>Atlanta Hawks - Orlando Magic</t>
  </si>
  <si>
    <t>Boston Celtics - New York Knicks</t>
  </si>
  <si>
    <t>Miami Heat - Philadelphia 76ers</t>
  </si>
  <si>
    <t>Los Angeles Lakers - New Orleans Hornets</t>
  </si>
  <si>
    <t>Memphis Grizzlies - San Antonio Spurs</t>
  </si>
  <si>
    <t>Oklahoma City Thunder - Denver Nuggets</t>
  </si>
  <si>
    <t>0.695-0.707</t>
  </si>
  <si>
    <t>100.2-102.1</t>
  </si>
  <si>
    <t>96.0-94.6</t>
  </si>
  <si>
    <t>0.707-0.756</t>
  </si>
  <si>
    <t>102.1-98.6</t>
  </si>
  <si>
    <t>94.6-91.3</t>
  </si>
  <si>
    <t>0.695-0.671</t>
  </si>
  <si>
    <t>100.2-104.8</t>
  </si>
  <si>
    <t>96.0-101.0</t>
  </si>
  <si>
    <t>0.756-0.537</t>
  </si>
  <si>
    <t>98.6-95.0</t>
  </si>
  <si>
    <t>91.3-95.8</t>
  </si>
  <si>
    <t>0.707-0.683</t>
  </si>
  <si>
    <t>102.1-96.5</t>
  </si>
  <si>
    <t>94.6-91.1</t>
  </si>
  <si>
    <t>0.695-0.695</t>
  </si>
  <si>
    <t>100.2-101.5</t>
  </si>
  <si>
    <t>96.0-95.4</t>
  </si>
  <si>
    <t>0.671-0.561</t>
  </si>
  <si>
    <t>104.8-99.9</t>
  </si>
  <si>
    <t>101.0-97.6</t>
  </si>
  <si>
    <t>0.537-0.634</t>
  </si>
  <si>
    <t>95.0-99.2</t>
  </si>
  <si>
    <t>95.8-93.7</t>
  </si>
  <si>
    <t>0.683-0.512</t>
  </si>
  <si>
    <t>96.5-106.5</t>
  </si>
  <si>
    <t>91.1-105.7</t>
  </si>
  <si>
    <t>0.756-0.451</t>
  </si>
  <si>
    <t>98.6-99.8</t>
  </si>
  <si>
    <t>91.3-100.9</t>
  </si>
  <si>
    <t>0.707-0.500</t>
  </si>
  <si>
    <t>102.1-99.0</t>
  </si>
  <si>
    <t>94.6-97.5</t>
  </si>
  <si>
    <t>0.695-0.585</t>
  </si>
  <si>
    <t>100.2-96.3</t>
  </si>
  <si>
    <t>0.695-0.561</t>
  </si>
  <si>
    <t>101.5-94.9</t>
  </si>
  <si>
    <t>95.4-94.0</t>
  </si>
  <si>
    <t>0.561-0.744</t>
  </si>
  <si>
    <t>99.9-103.7</t>
  </si>
  <si>
    <t>97.6-98.0</t>
  </si>
  <si>
    <t>0.671-0.610</t>
  </si>
  <si>
    <t>104.8-107.5</t>
  </si>
  <si>
    <t>101.0-102.7</t>
  </si>
  <si>
    <t>2011-12 season</t>
  </si>
  <si>
    <t>Miami Heat - Oklahoma City Thunder</t>
  </si>
  <si>
    <t>Oklahoma City Thunder - San Antonio Spurs</t>
  </si>
  <si>
    <t>Boston Celtics - Philadelphia 76ers</t>
  </si>
  <si>
    <t>Miami Heat - Indiana Pacers</t>
  </si>
  <si>
    <t>Oklahoma City Thunder - Los Angeles Lakers</t>
  </si>
  <si>
    <t>San Antonio Spurs - Los Angeles Clippers</t>
  </si>
  <si>
    <t>Indiana Pacers - Orlando Magic</t>
  </si>
  <si>
    <t>Miami Heat - New York Knicks</t>
  </si>
  <si>
    <t>Philadelphia 76ers - Chicago Bulls</t>
  </si>
  <si>
    <t>Los Angeles Clippers - Memphis Grizzlies</t>
  </si>
  <si>
    <t>Oklahoma City Thunder - Dallas Mavericks</t>
  </si>
  <si>
    <t>0.697-0.712</t>
  </si>
  <si>
    <t>98.5-103.1</t>
  </si>
  <si>
    <t>92.5-96.9</t>
  </si>
  <si>
    <t>0.697-0.591</t>
  </si>
  <si>
    <t>98.5-91.8</t>
  </si>
  <si>
    <t>92.5-89.3</t>
  </si>
  <si>
    <t>0.712-0.758</t>
  </si>
  <si>
    <t>103.1-103.7</t>
  </si>
  <si>
    <t>96.9-96.5</t>
  </si>
  <si>
    <t>0.591-0.530</t>
  </si>
  <si>
    <t>91.8-93.6</t>
  </si>
  <si>
    <t>89.3-89.4</t>
  </si>
  <si>
    <t>0.697-0.636</t>
  </si>
  <si>
    <t>98.5-97.7</t>
  </si>
  <si>
    <t>92.5-94.4</t>
  </si>
  <si>
    <t>0.712-0.621</t>
  </si>
  <si>
    <t>103.1-97.3</t>
  </si>
  <si>
    <t>96.9-95.9</t>
  </si>
  <si>
    <t>0.758-0.606</t>
  </si>
  <si>
    <t>103.7-97.5</t>
  </si>
  <si>
    <t>96.5-95.0</t>
  </si>
  <si>
    <t>0.591-0.606</t>
  </si>
  <si>
    <t>91.8-96.6</t>
  </si>
  <si>
    <t>89.3-93.2</t>
  </si>
  <si>
    <t>0.636-0.561</t>
  </si>
  <si>
    <t>97.7-94.2</t>
  </si>
  <si>
    <t>0.697-0.545</t>
  </si>
  <si>
    <t>98.5-97.8</t>
  </si>
  <si>
    <t>92.5-94.7</t>
  </si>
  <si>
    <t>0.530-0.758</t>
  </si>
  <si>
    <t>93.6-96.3</t>
  </si>
  <si>
    <t>89.4-88.2</t>
  </si>
  <si>
    <t>0.606-0.621</t>
  </si>
  <si>
    <t>97.5-95.0</t>
  </si>
  <si>
    <t>95.0-93.0</t>
  </si>
  <si>
    <t>0.621-0.576</t>
  </si>
  <si>
    <t>97.3-104.1</t>
  </si>
  <si>
    <t>95.9-101.2</t>
  </si>
  <si>
    <t>0.712-0.545</t>
  </si>
  <si>
    <t>103.1-95.8</t>
  </si>
  <si>
    <t>96.9-94.8</t>
  </si>
  <si>
    <t>0.758-0.545</t>
  </si>
  <si>
    <t>103.7-99.7</t>
  </si>
  <si>
    <t>96.5-99.0</t>
  </si>
  <si>
    <t>2012-13 season</t>
  </si>
  <si>
    <t>Miami Heat - San Antonio Spurs</t>
  </si>
  <si>
    <t>Memphis Grizzlies - Oklahoma City Thunder</t>
  </si>
  <si>
    <t>San Antonio Spurs - Golden State Warriors</t>
  </si>
  <si>
    <t>Chicago Bulls - Brooklyn Nets</t>
  </si>
  <si>
    <t>Indiana Pacers - Atlanta Hawks</t>
  </si>
  <si>
    <t>Miami Heat - Milwaukee Bucks</t>
  </si>
  <si>
    <t>New York Knicks - Boston Celtics</t>
  </si>
  <si>
    <t>Golden State Warriors - Denver Nuggets</t>
  </si>
  <si>
    <t>Memphis Grizzlies - Los Angeles Clippers</t>
  </si>
  <si>
    <t>Oklahoma City Thunder - Houston Rockets</t>
  </si>
  <si>
    <t>0.805-0.707</t>
  </si>
  <si>
    <t>102.9-103.0</t>
  </si>
  <si>
    <t>95.0-96.6</t>
  </si>
  <si>
    <t>0.805-0.605</t>
  </si>
  <si>
    <t>102.9-94.7</t>
  </si>
  <si>
    <t>95.0-90.7</t>
  </si>
  <si>
    <t>103.0-93.4</t>
  </si>
  <si>
    <t>96.6-89.3</t>
  </si>
  <si>
    <t>0.605-0.659</t>
  </si>
  <si>
    <t>94.7-100.0</t>
  </si>
  <si>
    <t>90.7-95.7</t>
  </si>
  <si>
    <t>102.9-93.2</t>
  </si>
  <si>
    <t>0.683-0.732</t>
  </si>
  <si>
    <t>93.4-105.7</t>
  </si>
  <si>
    <t>89.3-96.5</t>
  </si>
  <si>
    <t>0.707-0.573</t>
  </si>
  <si>
    <t>103.0-101.2</t>
  </si>
  <si>
    <t>96.6-100.3</t>
  </si>
  <si>
    <t>0.549-0.598</t>
  </si>
  <si>
    <t>93.2-96.9</t>
  </si>
  <si>
    <t>92.9-95.1</t>
  </si>
  <si>
    <t>0.605-0.537</t>
  </si>
  <si>
    <t>94.7-98.0</t>
  </si>
  <si>
    <t>90.7-97.5</t>
  </si>
  <si>
    <t>0.805-0.463</t>
  </si>
  <si>
    <t>102.9-98.9</t>
  </si>
  <si>
    <t>95.0-100.4</t>
  </si>
  <si>
    <t>0.659-0.506</t>
  </si>
  <si>
    <t>100.0-96.5</t>
  </si>
  <si>
    <t>95.7-96.7</t>
  </si>
  <si>
    <t>0.573-0.695</t>
  </si>
  <si>
    <t>101.2-106.1</t>
  </si>
  <si>
    <t>100.3-101.1</t>
  </si>
  <si>
    <t>93.4-101.1</t>
  </si>
  <si>
    <t>89.3-94.6</t>
  </si>
  <si>
    <t>0.732-0.549</t>
  </si>
  <si>
    <t>105.7-106.0</t>
  </si>
  <si>
    <t>96.5-102.5</t>
  </si>
  <si>
    <t>103.0-102.2</t>
  </si>
  <si>
    <t>96.6-101.0</t>
  </si>
  <si>
    <t>2013-14 season</t>
  </si>
  <si>
    <t>San Antonio Spurs - Miami Heat</t>
  </si>
  <si>
    <t>San Antonio Spurs - Oklahoma City Thunder</t>
  </si>
  <si>
    <t>Indiana Pacers - Washington Wizards</t>
  </si>
  <si>
    <t>Miami Heat - Brooklyn Nets</t>
  </si>
  <si>
    <t>Oklahoma City Thunder - Los Angeles Clippers</t>
  </si>
  <si>
    <t>Brooklyn Nets - Toronto Raptors</t>
  </si>
  <si>
    <t>Miami Heat - Charlotte Bobcats</t>
  </si>
  <si>
    <t>Los Angeles Clippers - Golden State Warriors</t>
  </si>
  <si>
    <t>Portland Trail Blazers - Houston Rockets</t>
  </si>
  <si>
    <t>0.756-0.659</t>
  </si>
  <si>
    <t>105.4-102.2</t>
  </si>
  <si>
    <t>97.6-97.4</t>
  </si>
  <si>
    <t>102.2-96.7</t>
  </si>
  <si>
    <t>97.4-92.3</t>
  </si>
  <si>
    <t>0.756-0.720</t>
  </si>
  <si>
    <t>105.4-106.2</t>
  </si>
  <si>
    <t>97.6-99.8</t>
  </si>
  <si>
    <t>0.683-0.537</t>
  </si>
  <si>
    <t>96.7-100.7</t>
  </si>
  <si>
    <t>92.3-99.4</t>
  </si>
  <si>
    <t>102.2-98.5</t>
  </si>
  <si>
    <t>97.4-99.5</t>
  </si>
  <si>
    <t>0.720-0.695</t>
  </si>
  <si>
    <t>106.2-107.9</t>
  </si>
  <si>
    <t>99.8-101.0</t>
  </si>
  <si>
    <t>105.4-106.7</t>
  </si>
  <si>
    <t>97.6-102.8</t>
  </si>
  <si>
    <t>98.5-101.3</t>
  </si>
  <si>
    <t>99.5-98.0</t>
  </si>
  <si>
    <t>0.683-0.463</t>
  </si>
  <si>
    <t>92.3-101.5</t>
  </si>
  <si>
    <t>102.2-96.9</t>
  </si>
  <si>
    <t>97.4-97.1</t>
  </si>
  <si>
    <t>100.7-93.7</t>
  </si>
  <si>
    <t>99.4-91.8</t>
  </si>
  <si>
    <t>0.695-0.622</t>
  </si>
  <si>
    <t>107.9-104.3</t>
  </si>
  <si>
    <t>101.0-99.5</t>
  </si>
  <si>
    <t>0.720-0.610</t>
  </si>
  <si>
    <t>106.2-96.1</t>
  </si>
  <si>
    <t>99.8-94.6</t>
  </si>
  <si>
    <t>0.659-0.659</t>
  </si>
  <si>
    <t>106.7-107.7</t>
  </si>
  <si>
    <t>102.8-103.1</t>
  </si>
  <si>
    <t>0.756-0.598</t>
  </si>
  <si>
    <t>105.4-104.8</t>
  </si>
  <si>
    <t>97.6-102.4</t>
  </si>
  <si>
    <t>2014-15 season</t>
  </si>
  <si>
    <t>Golden State Warriors - Cleveland Cavaliers</t>
  </si>
  <si>
    <t>Golden State Warriors - Houston Rockets</t>
  </si>
  <si>
    <t>Atlanta Hawks - Washington Wizards</t>
  </si>
  <si>
    <t>Cleveland Cavaliers - Chicago Bulls</t>
  </si>
  <si>
    <t>Golden State Warriors - Memphis Grizzlies</t>
  </si>
  <si>
    <t>Houston Rockets - Los Angeles Clippers</t>
  </si>
  <si>
    <t>Atlanta Hawks - Brooklyn Nets</t>
  </si>
  <si>
    <t>Chicago Bulls - Milwaukee Bucks</t>
  </si>
  <si>
    <t>Cleveland Cavaliers - Boston Celtics</t>
  </si>
  <si>
    <t>Washington Wizards - Toronto Raptors</t>
  </si>
  <si>
    <t>Golden State Warriors - New Orleans Pelicans</t>
  </si>
  <si>
    <t>Houston Rockets - Dallas Mavericks</t>
  </si>
  <si>
    <t>Los Angeles Clippers - San Antonio Spurs</t>
  </si>
  <si>
    <t>Memphis Grizzlies - Portland Trail Blazers</t>
  </si>
  <si>
    <t>110.0-103.1</t>
  </si>
  <si>
    <t>99.9-98.7</t>
  </si>
  <si>
    <t>0.646-0.732</t>
  </si>
  <si>
    <t>103.1-102.5</t>
  </si>
  <si>
    <t>98.7-97.1</t>
  </si>
  <si>
    <t>110.0-103.9</t>
  </si>
  <si>
    <t>99.9-100.5</t>
  </si>
  <si>
    <t>0.732-0.561</t>
  </si>
  <si>
    <t>102.5-98.5</t>
  </si>
  <si>
    <t>97.1-97.8</t>
  </si>
  <si>
    <t>0.646-0.610</t>
  </si>
  <si>
    <t>103.1-100.8</t>
  </si>
  <si>
    <t>98.7-97.8</t>
  </si>
  <si>
    <t>0.817-0.671</t>
  </si>
  <si>
    <t>110.0-98.3</t>
  </si>
  <si>
    <t>99.9-95.1</t>
  </si>
  <si>
    <t>103.9-106.7</t>
  </si>
  <si>
    <t>100.5-100.1</t>
  </si>
  <si>
    <t>0.732-0.463</t>
  </si>
  <si>
    <t>102.5-98.0</t>
  </si>
  <si>
    <t>97.1-100.9</t>
  </si>
  <si>
    <t>100.8-97.8</t>
  </si>
  <si>
    <t>97.8-97.4</t>
  </si>
  <si>
    <t>103.1-101.4</t>
  </si>
  <si>
    <t>98.7-101.2</t>
  </si>
  <si>
    <t>0.561-0.598</t>
  </si>
  <si>
    <t>98.5-104.0</t>
  </si>
  <si>
    <t>97.8-100.9</t>
  </si>
  <si>
    <t>0.817-0.549</t>
  </si>
  <si>
    <t>110.0-99.4</t>
  </si>
  <si>
    <t>99.9-98.6</t>
  </si>
  <si>
    <t>103.9-105.2</t>
  </si>
  <si>
    <t>100.5-102.3</t>
  </si>
  <si>
    <t>106.7-103.2</t>
  </si>
  <si>
    <t>100.1-97.0</t>
  </si>
  <si>
    <t>0.671-0.622</t>
  </si>
  <si>
    <t>98.3-102.8</t>
  </si>
  <si>
    <t>95.1-98.6</t>
  </si>
  <si>
    <t>2015-16 season</t>
  </si>
  <si>
    <t>Cleveland Cavaliers - Golden State Warriors</t>
  </si>
  <si>
    <t>Cleveland Cavaliers - Toronto Raptors</t>
  </si>
  <si>
    <t>Golden State Warriors - Oklahoma City Thunder</t>
  </si>
  <si>
    <t>Toronto Raptors - Miami Heat</t>
  </si>
  <si>
    <t>Golden State Warriors - Portland Trail Blazers</t>
  </si>
  <si>
    <t>Atlanta Hawks - Boston Celtics</t>
  </si>
  <si>
    <t>Miami Heat - Charlotte Hornets</t>
  </si>
  <si>
    <t>Toronto Raptors - Indiana Pacers</t>
  </si>
  <si>
    <t>Portland Trail Blazers - Los Angeles Clippers</t>
  </si>
  <si>
    <t>0.695-0.890</t>
  </si>
  <si>
    <t>104.3-114.9</t>
  </si>
  <si>
    <t>98.3-104.1</t>
  </si>
  <si>
    <t>104.3-102.7</t>
  </si>
  <si>
    <t>98.3-98.2</t>
  </si>
  <si>
    <t>0.890-0.671</t>
  </si>
  <si>
    <t>114.9-110.2</t>
  </si>
  <si>
    <t>104.1-102.9</t>
  </si>
  <si>
    <t>104.3-102.8</t>
  </si>
  <si>
    <t>98.3-99.2</t>
  </si>
  <si>
    <t>0.683-0.585</t>
  </si>
  <si>
    <t>102.7-100.0</t>
  </si>
  <si>
    <t>98.2-98.4</t>
  </si>
  <si>
    <t>0.890-0.537</t>
  </si>
  <si>
    <t>114.9-105.1</t>
  </si>
  <si>
    <t>104.1-104.3</t>
  </si>
  <si>
    <t>0.671-0.817</t>
  </si>
  <si>
    <t>110.2-103.5</t>
  </si>
  <si>
    <t>102.9-92.9</t>
  </si>
  <si>
    <t>0.585-0.585</t>
  </si>
  <si>
    <t>102.8-105.7</t>
  </si>
  <si>
    <t>99.2-102.5</t>
  </si>
  <si>
    <t>0.695-0.537</t>
  </si>
  <si>
    <t>104.3-102.0</t>
  </si>
  <si>
    <t>98.3-101.4</t>
  </si>
  <si>
    <t>100.0-103.4</t>
  </si>
  <si>
    <t>98.4-100.7</t>
  </si>
  <si>
    <t>102.7-102.2</t>
  </si>
  <si>
    <t>98.2-100.5</t>
  </si>
  <si>
    <t>0.890-0.500</t>
  </si>
  <si>
    <t>114.9-106.5</t>
  </si>
  <si>
    <t>104.1-106.4</t>
  </si>
  <si>
    <t>0.671-0.512</t>
  </si>
  <si>
    <t>110.2-102.3</t>
  </si>
  <si>
    <t>102.9-102.6</t>
  </si>
  <si>
    <t>0.537-0.646</t>
  </si>
  <si>
    <t>105.1-104.5</t>
  </si>
  <si>
    <t>104.3-100.2</t>
  </si>
  <si>
    <t>0.817-0.512</t>
  </si>
  <si>
    <t>103.5-99.1</t>
  </si>
  <si>
    <t>92.9-101.3</t>
  </si>
  <si>
    <t>2016-17 season</t>
  </si>
  <si>
    <t>Golden State Warriors - San Antonio Spurs</t>
  </si>
  <si>
    <t>Boston Celtics - Washington Wizards</t>
  </si>
  <si>
    <t>Clevland Cavaliers - Toronto Raptors</t>
  </si>
  <si>
    <t>Golden State Warriors - Utah Jazz</t>
  </si>
  <si>
    <t>San Antonio Spurs - Houston Rockets</t>
  </si>
  <si>
    <t>Cleveland Cavaliers - Indiana Pacers</t>
  </si>
  <si>
    <t>Toronto Raptors - Milwaukee Bucks</t>
  </si>
  <si>
    <t>Washington Wizards - Atlanta Hawks</t>
  </si>
  <si>
    <t>Houston Rockets - Oklahoma City Thunder</t>
  </si>
  <si>
    <t>Utah Jazz - Los Angeles Clippers</t>
  </si>
  <si>
    <t>0.817-0.622</t>
  </si>
  <si>
    <t>115.9-110.3</t>
  </si>
  <si>
    <t>104.3-107.2</t>
  </si>
  <si>
    <t>0.622-0.646</t>
  </si>
  <si>
    <t>110.3-108.0</t>
  </si>
  <si>
    <t>107.2-105.4</t>
  </si>
  <si>
    <t>0.817-0.744</t>
  </si>
  <si>
    <t>115.9-105.3</t>
  </si>
  <si>
    <t>104.3-98.1</t>
  </si>
  <si>
    <t>108.0-109.2</t>
  </si>
  <si>
    <t>105.4-107.4</t>
  </si>
  <si>
    <t>0.622-0.622</t>
  </si>
  <si>
    <t>110.3-106.9</t>
  </si>
  <si>
    <t>107.2-102.6</t>
  </si>
  <si>
    <t>115.9-100.7</t>
  </si>
  <si>
    <t>104.3-96.8</t>
  </si>
  <si>
    <t>0.744-0.671</t>
  </si>
  <si>
    <t>105.3-115.3</t>
  </si>
  <si>
    <t>98.1-109.6</t>
  </si>
  <si>
    <t>0.646-0.500</t>
  </si>
  <si>
    <t>108.0-102.9</t>
  </si>
  <si>
    <t>105.4-102.4</t>
  </si>
  <si>
    <t>110.3-105.1</t>
  </si>
  <si>
    <t>107.2-105.3</t>
  </si>
  <si>
    <t>102.6-103.8</t>
  </si>
  <si>
    <t>0.598-0.524</t>
  </si>
  <si>
    <t>109.2-103.2</t>
  </si>
  <si>
    <t>107.4-104.0</t>
  </si>
  <si>
    <t>0.817-0.500</t>
  </si>
  <si>
    <t>115.9-107.9</t>
  </si>
  <si>
    <t>104.3-108.5</t>
  </si>
  <si>
    <t>0.671-0.573</t>
  </si>
  <si>
    <t>115.3-106.6</t>
  </si>
  <si>
    <t>109.6-105.8</t>
  </si>
  <si>
    <t>0.744-0.524</t>
  </si>
  <si>
    <t>105.3-100.5</t>
  </si>
  <si>
    <t>98.1-100.0</t>
  </si>
  <si>
    <t>100.7-108.7</t>
  </si>
  <si>
    <t>96.8-104.4</t>
  </si>
  <si>
    <t>96.2-96.4</t>
  </si>
  <si>
    <t>PA/G diff</t>
  </si>
  <si>
    <t>PS/G diff</t>
  </si>
  <si>
    <t>W/L % diff</t>
  </si>
  <si>
    <t>Season net wins</t>
  </si>
  <si>
    <t>Result</t>
  </si>
  <si>
    <t>WLdiff</t>
  </si>
  <si>
    <t>PSdiff</t>
  </si>
  <si>
    <t>PAdiff</t>
  </si>
  <si>
    <t>netwins</t>
  </si>
  <si>
    <t>NOGs</t>
  </si>
  <si>
    <t>2017-18 season 1st round (use for testing)</t>
  </si>
  <si>
    <t>Toronto Rapters - Washington Wizards</t>
  </si>
  <si>
    <t>Boston Celtics - Milwaukee Bucks</t>
  </si>
  <si>
    <t>Philadelphia 76ers - Miami Heat</t>
  </si>
  <si>
    <t>Houston Rockets - Minnesota Timberwolves</t>
  </si>
  <si>
    <t>Portland Trail Blazers - New Orleans Pelicans</t>
  </si>
  <si>
    <t>Oklahoma City Thunder - Utah Jazz</t>
  </si>
  <si>
    <t>0.720-0.524</t>
  </si>
  <si>
    <t>0.671-0.537</t>
  </si>
  <si>
    <t>111.7-106.6</t>
  </si>
  <si>
    <t>103.9-106.0</t>
  </si>
  <si>
    <t>104.0-106.5</t>
  </si>
  <si>
    <t>100.4-106.8</t>
  </si>
  <si>
    <t>109.8-103.4</t>
  </si>
  <si>
    <t>105.3-102.9</t>
  </si>
  <si>
    <t>110.9-105.6</t>
  </si>
  <si>
    <t>109.9-104.2</t>
  </si>
  <si>
    <t>0.793-0.573</t>
  </si>
  <si>
    <t>112.4-109.5</t>
  </si>
  <si>
    <t>103.9-107.3</t>
  </si>
  <si>
    <t>113.5-102.7</t>
  </si>
  <si>
    <t>107.5-99.8</t>
  </si>
  <si>
    <t>0.598-0.585</t>
  </si>
  <si>
    <t>105.6-111.7</t>
  </si>
  <si>
    <t>103.0-110.4</t>
  </si>
  <si>
    <t>107.9-104.1</t>
  </si>
  <si>
    <t>104.4-99.8</t>
  </si>
  <si>
    <t>testing</t>
  </si>
  <si>
    <t>Over 10%</t>
  </si>
  <si>
    <t>Over 13%</t>
  </si>
  <si>
    <t>Over 20%</t>
  </si>
  <si>
    <t>Out of 15</t>
  </si>
  <si>
    <t>Houston Rockets - Golden State Warriors</t>
  </si>
  <si>
    <t>0.793-0.707</t>
  </si>
  <si>
    <t>112.4-113.5</t>
  </si>
  <si>
    <t>103.9-107.5</t>
  </si>
  <si>
    <t>104.0-110.9</t>
  </si>
  <si>
    <t>100.4-109.9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</si>
</sst>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6B64-D30D-467E-B48F-7D896633ACAF}">
  <dimension ref="A1:F306"/>
  <sheetViews>
    <sheetView topLeftCell="A277" workbookViewId="0">
      <selection activeCell="A294" sqref="A294:F295"/>
    </sheetView>
  </sheetViews>
  <sheetFormatPr defaultRowHeight="15" x14ac:dyDescent="0.25"/>
  <cols>
    <col min="1" max="1" width="46" customWidth="1"/>
    <col min="2" max="2" width="13.85546875" customWidth="1"/>
    <col min="3" max="3" width="15" customWidth="1"/>
    <col min="4" max="4" width="20.7109375" customWidth="1"/>
    <col min="5" max="5" width="21.7109375" customWidth="1"/>
    <col min="6" max="6" width="28.42578125" customWidth="1"/>
  </cols>
  <sheetData>
    <row r="1" spans="1:6" x14ac:dyDescent="0.25">
      <c r="A1" s="1" t="s">
        <v>0</v>
      </c>
      <c r="B1" s="1" t="s">
        <v>1</v>
      </c>
      <c r="C1" s="1" t="s">
        <v>7</v>
      </c>
      <c r="D1" s="1" t="s">
        <v>4</v>
      </c>
      <c r="E1" s="1" t="s">
        <v>3</v>
      </c>
      <c r="F1" s="1" t="s">
        <v>9</v>
      </c>
    </row>
    <row r="2" spans="1:6" x14ac:dyDescent="0.25">
      <c r="A2" s="1" t="s">
        <v>76</v>
      </c>
      <c r="B2" s="1"/>
      <c r="C2" s="1"/>
      <c r="D2" s="1"/>
      <c r="E2" s="1"/>
      <c r="F2" s="1"/>
    </row>
    <row r="3" spans="1:6" x14ac:dyDescent="0.25">
      <c r="A3" s="1" t="s">
        <v>11</v>
      </c>
      <c r="B3" s="2" t="s">
        <v>2</v>
      </c>
      <c r="C3" s="1" t="s">
        <v>8</v>
      </c>
      <c r="D3" s="1" t="s">
        <v>5</v>
      </c>
      <c r="E3" s="1" t="s">
        <v>6</v>
      </c>
      <c r="F3" s="2" t="s">
        <v>10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1:6" x14ac:dyDescent="0.25">
      <c r="A7" s="1" t="s">
        <v>26</v>
      </c>
      <c r="B7" s="1" t="s">
        <v>25</v>
      </c>
      <c r="C7" s="1" t="s">
        <v>37</v>
      </c>
      <c r="D7" s="1" t="s">
        <v>38</v>
      </c>
      <c r="E7" s="1" t="s">
        <v>39</v>
      </c>
      <c r="F7" s="1" t="s">
        <v>33</v>
      </c>
    </row>
    <row r="8" spans="1:6" x14ac:dyDescent="0.25">
      <c r="A8" s="1" t="s">
        <v>27</v>
      </c>
      <c r="B8" s="1" t="s">
        <v>25</v>
      </c>
      <c r="C8" s="1" t="s">
        <v>40</v>
      </c>
      <c r="D8" s="1" t="s">
        <v>41</v>
      </c>
      <c r="E8" s="1" t="s">
        <v>42</v>
      </c>
      <c r="F8" s="1" t="s">
        <v>23</v>
      </c>
    </row>
    <row r="9" spans="1:6" x14ac:dyDescent="0.25">
      <c r="A9" s="1" t="s">
        <v>28</v>
      </c>
      <c r="B9" s="1" t="s">
        <v>25</v>
      </c>
      <c r="C9" s="1" t="s">
        <v>34</v>
      </c>
      <c r="D9" s="1" t="s">
        <v>35</v>
      </c>
      <c r="E9" s="1" t="s">
        <v>36</v>
      </c>
      <c r="F9" s="1" t="s">
        <v>32</v>
      </c>
    </row>
    <row r="10" spans="1:6" x14ac:dyDescent="0.25">
      <c r="A10" s="1" t="s">
        <v>75</v>
      </c>
      <c r="B10" s="1"/>
      <c r="C10" s="1"/>
      <c r="D10" s="1"/>
      <c r="E10" s="1"/>
      <c r="F10" s="1"/>
    </row>
    <row r="11" spans="1:6" x14ac:dyDescent="0.25">
      <c r="A11" s="1" t="s">
        <v>43</v>
      </c>
      <c r="B11" s="1" t="s">
        <v>25</v>
      </c>
      <c r="C11" s="1" t="s">
        <v>50</v>
      </c>
      <c r="D11" s="1" t="s">
        <v>51</v>
      </c>
      <c r="E11" s="1" t="s">
        <v>52</v>
      </c>
      <c r="F11" s="1" t="s">
        <v>71</v>
      </c>
    </row>
    <row r="12" spans="1:6" x14ac:dyDescent="0.25">
      <c r="A12" s="1" t="s">
        <v>44</v>
      </c>
      <c r="B12" s="1" t="s">
        <v>2</v>
      </c>
      <c r="C12" s="1" t="s">
        <v>53</v>
      </c>
      <c r="D12" s="1" t="s">
        <v>54</v>
      </c>
      <c r="E12" s="1" t="s">
        <v>55</v>
      </c>
      <c r="F12" s="1" t="s">
        <v>73</v>
      </c>
    </row>
    <row r="13" spans="1:6" x14ac:dyDescent="0.25">
      <c r="A13" s="1" t="s">
        <v>45</v>
      </c>
      <c r="B13" s="1" t="s">
        <v>19</v>
      </c>
      <c r="C13" s="1" t="s">
        <v>56</v>
      </c>
      <c r="D13" s="1" t="s">
        <v>57</v>
      </c>
      <c r="E13" s="1" t="s">
        <v>58</v>
      </c>
      <c r="F13" s="1" t="s">
        <v>32</v>
      </c>
    </row>
    <row r="14" spans="1:6" x14ac:dyDescent="0.25">
      <c r="A14" s="1" t="s">
        <v>46</v>
      </c>
      <c r="B14" s="1" t="s">
        <v>19</v>
      </c>
      <c r="C14" s="1" t="s">
        <v>59</v>
      </c>
      <c r="D14" s="1" t="s">
        <v>60</v>
      </c>
      <c r="E14" s="1" t="s">
        <v>61</v>
      </c>
      <c r="F14" s="1" t="s">
        <v>73</v>
      </c>
    </row>
    <row r="15" spans="1:6" x14ac:dyDescent="0.25">
      <c r="A15" s="1" t="s">
        <v>47</v>
      </c>
      <c r="B15" s="1" t="s">
        <v>19</v>
      </c>
      <c r="C15" s="1" t="s">
        <v>62</v>
      </c>
      <c r="D15" s="1" t="s">
        <v>63</v>
      </c>
      <c r="E15" s="1" t="s">
        <v>64</v>
      </c>
      <c r="F15" s="1" t="s">
        <v>73</v>
      </c>
    </row>
    <row r="16" spans="1:6" x14ac:dyDescent="0.25">
      <c r="A16" s="1" t="s">
        <v>48</v>
      </c>
      <c r="B16" s="1" t="s">
        <v>2</v>
      </c>
      <c r="C16" s="1" t="s">
        <v>65</v>
      </c>
      <c r="D16" s="1" t="s">
        <v>66</v>
      </c>
      <c r="E16" s="1" t="s">
        <v>67</v>
      </c>
      <c r="F16" s="1" t="s">
        <v>73</v>
      </c>
    </row>
    <row r="17" spans="1:6" x14ac:dyDescent="0.25">
      <c r="A17" s="1" t="s">
        <v>49</v>
      </c>
      <c r="B17" s="1" t="s">
        <v>19</v>
      </c>
      <c r="C17" s="1" t="s">
        <v>68</v>
      </c>
      <c r="D17" s="1" t="s">
        <v>69</v>
      </c>
      <c r="E17" s="1" t="s">
        <v>70</v>
      </c>
      <c r="F17" s="1" t="s">
        <v>72</v>
      </c>
    </row>
    <row r="18" spans="1:6" x14ac:dyDescent="0.25">
      <c r="A18" s="1" t="s">
        <v>74</v>
      </c>
      <c r="B18" s="1"/>
      <c r="C18" s="1"/>
      <c r="D18" s="1"/>
      <c r="E18" s="1"/>
      <c r="F18" s="1"/>
    </row>
    <row r="19" spans="1:6" x14ac:dyDescent="0.25">
      <c r="A19" s="1" t="s">
        <v>77</v>
      </c>
      <c r="B19" s="1" t="s">
        <v>2</v>
      </c>
      <c r="C19" s="1" t="s">
        <v>99</v>
      </c>
      <c r="D19" s="1" t="s">
        <v>100</v>
      </c>
      <c r="E19" s="1" t="s">
        <v>101</v>
      </c>
      <c r="F19" s="1" t="s">
        <v>102</v>
      </c>
    </row>
    <row r="20" spans="1:6" x14ac:dyDescent="0.25">
      <c r="A20" s="1" t="s">
        <v>26</v>
      </c>
      <c r="B20" s="1" t="s">
        <v>2</v>
      </c>
      <c r="C20" s="1" t="s">
        <v>96</v>
      </c>
      <c r="D20" s="1" t="s">
        <v>97</v>
      </c>
      <c r="E20" s="1" t="s">
        <v>98</v>
      </c>
      <c r="F20" s="1" t="s">
        <v>17</v>
      </c>
    </row>
    <row r="21" spans="1:6" x14ac:dyDescent="0.25">
      <c r="A21" s="1" t="s">
        <v>78</v>
      </c>
      <c r="B21" s="1" t="s">
        <v>13</v>
      </c>
      <c r="C21" s="1" t="s">
        <v>93</v>
      </c>
      <c r="D21" s="1" t="s">
        <v>94</v>
      </c>
      <c r="E21" s="1" t="s">
        <v>95</v>
      </c>
      <c r="F21" s="1" t="s">
        <v>17</v>
      </c>
    </row>
    <row r="22" spans="1:6" x14ac:dyDescent="0.25">
      <c r="A22" s="1" t="s">
        <v>46</v>
      </c>
      <c r="B22" s="1" t="s">
        <v>2</v>
      </c>
      <c r="C22" s="1" t="s">
        <v>81</v>
      </c>
      <c r="D22" s="1" t="s">
        <v>82</v>
      </c>
      <c r="E22" s="1" t="s">
        <v>83</v>
      </c>
      <c r="F22" s="1" t="s">
        <v>17</v>
      </c>
    </row>
    <row r="23" spans="1:6" x14ac:dyDescent="0.25">
      <c r="A23" s="1" t="s">
        <v>79</v>
      </c>
      <c r="B23" s="1" t="s">
        <v>13</v>
      </c>
      <c r="C23" s="1" t="s">
        <v>84</v>
      </c>
      <c r="D23" s="1" t="s">
        <v>85</v>
      </c>
      <c r="E23" s="1" t="s">
        <v>86</v>
      </c>
      <c r="F23" s="1" t="s">
        <v>23</v>
      </c>
    </row>
    <row r="24" spans="1:6" x14ac:dyDescent="0.25">
      <c r="A24" s="1" t="s">
        <v>80</v>
      </c>
      <c r="B24" s="1" t="s">
        <v>25</v>
      </c>
      <c r="C24" s="1" t="s">
        <v>87</v>
      </c>
      <c r="D24" s="1" t="s">
        <v>88</v>
      </c>
      <c r="E24" s="1" t="s">
        <v>89</v>
      </c>
      <c r="F24" s="1" t="s">
        <v>19</v>
      </c>
    </row>
    <row r="25" spans="1:6" x14ac:dyDescent="0.25">
      <c r="A25" s="1" t="s">
        <v>48</v>
      </c>
      <c r="B25" s="1" t="s">
        <v>25</v>
      </c>
      <c r="C25" s="1" t="s">
        <v>90</v>
      </c>
      <c r="D25" s="1" t="s">
        <v>91</v>
      </c>
      <c r="E25" s="1" t="s">
        <v>92</v>
      </c>
      <c r="F25" s="1" t="s">
        <v>32</v>
      </c>
    </row>
    <row r="26" spans="1:6" x14ac:dyDescent="0.25">
      <c r="A26" s="1" t="s">
        <v>103</v>
      </c>
      <c r="B26" s="1"/>
      <c r="C26" s="1"/>
      <c r="D26" s="1"/>
      <c r="E26" s="1"/>
      <c r="F26" s="1"/>
    </row>
    <row r="27" spans="1:6" x14ac:dyDescent="0.25">
      <c r="A27" s="1" t="s">
        <v>104</v>
      </c>
      <c r="B27" s="1" t="s">
        <v>25</v>
      </c>
      <c r="C27" s="1" t="s">
        <v>123</v>
      </c>
      <c r="D27" s="1" t="s">
        <v>124</v>
      </c>
      <c r="E27" s="1" t="s">
        <v>125</v>
      </c>
      <c r="F27" s="1" t="s">
        <v>102</v>
      </c>
    </row>
    <row r="28" spans="1:6" x14ac:dyDescent="0.25">
      <c r="A28" s="1" t="s">
        <v>105</v>
      </c>
      <c r="B28" s="1" t="s">
        <v>13</v>
      </c>
      <c r="C28" s="1" t="s">
        <v>126</v>
      </c>
      <c r="D28" s="1" t="s">
        <v>127</v>
      </c>
      <c r="E28" s="1" t="s">
        <v>128</v>
      </c>
      <c r="F28" s="1" t="s">
        <v>17</v>
      </c>
    </row>
    <row r="29" spans="1:6" x14ac:dyDescent="0.25">
      <c r="A29" s="1" t="s">
        <v>106</v>
      </c>
      <c r="B29" s="1" t="s">
        <v>19</v>
      </c>
      <c r="C29" s="1" t="s">
        <v>129</v>
      </c>
      <c r="D29" s="1" t="s">
        <v>130</v>
      </c>
      <c r="E29" s="1" t="s">
        <v>131</v>
      </c>
      <c r="F29" s="1" t="s">
        <v>17</v>
      </c>
    </row>
    <row r="30" spans="1:6" x14ac:dyDescent="0.25">
      <c r="A30" s="1" t="s">
        <v>107</v>
      </c>
      <c r="B30" s="1" t="s">
        <v>13</v>
      </c>
      <c r="C30" s="1" t="s">
        <v>111</v>
      </c>
      <c r="D30" s="1" t="s">
        <v>112</v>
      </c>
      <c r="E30" s="1" t="s">
        <v>113</v>
      </c>
      <c r="F30" s="1" t="s">
        <v>23</v>
      </c>
    </row>
    <row r="31" spans="1:6" x14ac:dyDescent="0.25">
      <c r="A31" s="1" t="s">
        <v>108</v>
      </c>
      <c r="B31" s="1" t="s">
        <v>13</v>
      </c>
      <c r="C31" s="1" t="s">
        <v>114</v>
      </c>
      <c r="D31" s="1" t="s">
        <v>115</v>
      </c>
      <c r="E31" s="1" t="s">
        <v>116</v>
      </c>
      <c r="F31" s="1" t="s">
        <v>23</v>
      </c>
    </row>
    <row r="32" spans="1:6" x14ac:dyDescent="0.25">
      <c r="A32" s="1" t="s">
        <v>109</v>
      </c>
      <c r="B32" s="1" t="s">
        <v>19</v>
      </c>
      <c r="C32" s="1" t="s">
        <v>117</v>
      </c>
      <c r="D32" s="1" t="s">
        <v>118</v>
      </c>
      <c r="E32" s="1" t="s">
        <v>119</v>
      </c>
      <c r="F32" s="1" t="s">
        <v>32</v>
      </c>
    </row>
    <row r="33" spans="1:6" x14ac:dyDescent="0.25">
      <c r="A33" s="1" t="s">
        <v>110</v>
      </c>
      <c r="B33" s="1" t="s">
        <v>25</v>
      </c>
      <c r="C33" s="1" t="s">
        <v>120</v>
      </c>
      <c r="D33" s="1" t="s">
        <v>121</v>
      </c>
      <c r="E33" s="1" t="s">
        <v>122</v>
      </c>
      <c r="F33" s="1" t="s">
        <v>32</v>
      </c>
    </row>
    <row r="34" spans="1:6" x14ac:dyDescent="0.25">
      <c r="A34" s="1" t="s">
        <v>132</v>
      </c>
      <c r="B34" s="1"/>
      <c r="C34" s="1"/>
      <c r="D34" s="1"/>
      <c r="E34" s="1"/>
      <c r="F34" s="1"/>
    </row>
    <row r="35" spans="1:6" x14ac:dyDescent="0.25">
      <c r="A35" s="1" t="s">
        <v>133</v>
      </c>
      <c r="B35" s="1" t="s">
        <v>19</v>
      </c>
      <c r="C35" s="1" t="s">
        <v>138</v>
      </c>
      <c r="D35" s="1" t="s">
        <v>139</v>
      </c>
      <c r="E35" s="1" t="s">
        <v>140</v>
      </c>
      <c r="F35" s="1" t="s">
        <v>102</v>
      </c>
    </row>
    <row r="36" spans="1:6" x14ac:dyDescent="0.25">
      <c r="A36" s="1" t="s">
        <v>134</v>
      </c>
      <c r="B36" s="1" t="s">
        <v>2</v>
      </c>
      <c r="C36" s="1" t="s">
        <v>141</v>
      </c>
      <c r="D36" s="1" t="s">
        <v>953</v>
      </c>
      <c r="E36" s="1" t="s">
        <v>142</v>
      </c>
      <c r="F36" s="1" t="s">
        <v>23</v>
      </c>
    </row>
    <row r="37" spans="1:6" x14ac:dyDescent="0.25">
      <c r="A37" s="1" t="s">
        <v>109</v>
      </c>
      <c r="B37" s="1" t="s">
        <v>13</v>
      </c>
      <c r="C37" s="1" t="s">
        <v>143</v>
      </c>
      <c r="D37" s="1" t="s">
        <v>144</v>
      </c>
      <c r="E37" s="1" t="s">
        <v>145</v>
      </c>
      <c r="F37" s="1" t="s">
        <v>32</v>
      </c>
    </row>
    <row r="38" spans="1:6" x14ac:dyDescent="0.25">
      <c r="A38" s="1" t="s">
        <v>135</v>
      </c>
      <c r="B38" s="1" t="s">
        <v>25</v>
      </c>
      <c r="C38" s="1" t="s">
        <v>146</v>
      </c>
      <c r="D38" s="1" t="s">
        <v>147</v>
      </c>
      <c r="E38" s="1" t="s">
        <v>148</v>
      </c>
      <c r="F38" s="1" t="s">
        <v>17</v>
      </c>
    </row>
    <row r="39" spans="1:6" x14ac:dyDescent="0.25">
      <c r="A39" s="1" t="s">
        <v>136</v>
      </c>
      <c r="B39" s="1" t="s">
        <v>25</v>
      </c>
      <c r="C39" s="1" t="s">
        <v>149</v>
      </c>
      <c r="D39" s="1" t="s">
        <v>150</v>
      </c>
      <c r="E39" s="1" t="s">
        <v>151</v>
      </c>
      <c r="F39" s="1" t="s">
        <v>32</v>
      </c>
    </row>
    <row r="40" spans="1:6" x14ac:dyDescent="0.25">
      <c r="A40" s="1" t="s">
        <v>106</v>
      </c>
      <c r="B40" s="1" t="s">
        <v>25</v>
      </c>
      <c r="C40" s="1" t="s">
        <v>152</v>
      </c>
      <c r="D40" s="1" t="s">
        <v>153</v>
      </c>
      <c r="E40" s="1" t="s">
        <v>154</v>
      </c>
      <c r="F40" s="1" t="s">
        <v>32</v>
      </c>
    </row>
    <row r="41" spans="1:6" x14ac:dyDescent="0.25">
      <c r="A41" s="1" t="s">
        <v>137</v>
      </c>
      <c r="B41" s="1" t="s">
        <v>25</v>
      </c>
      <c r="C41" s="1" t="s">
        <v>155</v>
      </c>
      <c r="D41" s="1" t="s">
        <v>156</v>
      </c>
      <c r="E41" s="1" t="s">
        <v>157</v>
      </c>
      <c r="F41" s="1" t="s">
        <v>23</v>
      </c>
    </row>
    <row r="42" spans="1:6" x14ac:dyDescent="0.25">
      <c r="A42" s="1" t="s">
        <v>158</v>
      </c>
      <c r="B42" s="1"/>
      <c r="C42" s="1"/>
      <c r="D42" s="1"/>
      <c r="E42" s="1"/>
      <c r="F42" s="1"/>
    </row>
    <row r="43" spans="1:6" x14ac:dyDescent="0.25">
      <c r="A43" s="1" t="s">
        <v>159</v>
      </c>
      <c r="B43" s="1" t="s">
        <v>2</v>
      </c>
      <c r="C43" s="1" t="s">
        <v>171</v>
      </c>
      <c r="D43" s="1" t="s">
        <v>172</v>
      </c>
      <c r="E43" s="1" t="s">
        <v>173</v>
      </c>
      <c r="F43" s="1" t="s">
        <v>102</v>
      </c>
    </row>
    <row r="44" spans="1:6" x14ac:dyDescent="0.25">
      <c r="A44" s="1" t="s">
        <v>160</v>
      </c>
      <c r="B44" s="1" t="s">
        <v>19</v>
      </c>
      <c r="C44" s="1" t="s">
        <v>146</v>
      </c>
      <c r="D44" s="1" t="s">
        <v>174</v>
      </c>
      <c r="E44" s="1" t="s">
        <v>175</v>
      </c>
      <c r="F44" s="1" t="s">
        <v>73</v>
      </c>
    </row>
    <row r="45" spans="1:6" x14ac:dyDescent="0.25">
      <c r="A45" s="1" t="s">
        <v>110</v>
      </c>
      <c r="B45" s="1" t="s">
        <v>2</v>
      </c>
      <c r="C45" s="1" t="s">
        <v>176</v>
      </c>
      <c r="D45" s="1" t="s">
        <v>177</v>
      </c>
      <c r="E45" s="1" t="s">
        <v>178</v>
      </c>
      <c r="F45" s="1" t="s">
        <v>17</v>
      </c>
    </row>
    <row r="46" spans="1:6" x14ac:dyDescent="0.25">
      <c r="A46" s="1" t="s">
        <v>161</v>
      </c>
      <c r="B46" s="1" t="s">
        <v>2</v>
      </c>
      <c r="C46" s="1" t="s">
        <v>179</v>
      </c>
      <c r="D46" s="1" t="s">
        <v>180</v>
      </c>
      <c r="E46" s="1" t="s">
        <v>181</v>
      </c>
      <c r="F46" s="1" t="s">
        <v>17</v>
      </c>
    </row>
    <row r="47" spans="1:6" x14ac:dyDescent="0.25">
      <c r="A47" s="1" t="s">
        <v>134</v>
      </c>
      <c r="B47" s="1" t="s">
        <v>19</v>
      </c>
      <c r="C47" s="1" t="s">
        <v>182</v>
      </c>
      <c r="D47" s="1" t="s">
        <v>183</v>
      </c>
      <c r="E47" s="1" t="s">
        <v>184</v>
      </c>
      <c r="F47" s="1" t="s">
        <v>32</v>
      </c>
    </row>
    <row r="48" spans="1:6" x14ac:dyDescent="0.25">
      <c r="A48" s="1" t="s">
        <v>162</v>
      </c>
      <c r="B48" s="1" t="s">
        <v>13</v>
      </c>
      <c r="C48" s="1" t="s">
        <v>185</v>
      </c>
      <c r="D48" s="1" t="s">
        <v>186</v>
      </c>
      <c r="E48" s="1" t="s">
        <v>187</v>
      </c>
      <c r="F48" s="1" t="s">
        <v>23</v>
      </c>
    </row>
    <row r="49" spans="1:6" x14ac:dyDescent="0.25">
      <c r="A49" s="1" t="s">
        <v>49</v>
      </c>
      <c r="B49" s="1" t="s">
        <v>2</v>
      </c>
      <c r="C49" s="1" t="s">
        <v>188</v>
      </c>
      <c r="D49" s="1" t="s">
        <v>189</v>
      </c>
      <c r="E49" s="1" t="s">
        <v>190</v>
      </c>
      <c r="F49" s="1" t="s">
        <v>19</v>
      </c>
    </row>
    <row r="50" spans="1:6" x14ac:dyDescent="0.25">
      <c r="A50" s="1" t="s">
        <v>163</v>
      </c>
      <c r="B50" s="1" t="s">
        <v>2</v>
      </c>
      <c r="C50" s="1" t="s">
        <v>191</v>
      </c>
      <c r="D50" s="1" t="s">
        <v>192</v>
      </c>
      <c r="E50" s="1" t="s">
        <v>193</v>
      </c>
      <c r="F50" s="1" t="s">
        <v>17</v>
      </c>
    </row>
    <row r="51" spans="1:6" x14ac:dyDescent="0.25">
      <c r="A51" s="1" t="s">
        <v>164</v>
      </c>
      <c r="B51" s="1" t="s">
        <v>13</v>
      </c>
      <c r="C51" s="1" t="s">
        <v>194</v>
      </c>
      <c r="D51" s="1" t="s">
        <v>195</v>
      </c>
      <c r="E51" s="1" t="s">
        <v>196</v>
      </c>
      <c r="F51" s="1" t="s">
        <v>33</v>
      </c>
    </row>
    <row r="52" spans="1:6" x14ac:dyDescent="0.25">
      <c r="A52" s="1" t="s">
        <v>165</v>
      </c>
      <c r="B52" s="1" t="s">
        <v>2</v>
      </c>
      <c r="C52" s="1" t="s">
        <v>197</v>
      </c>
      <c r="D52" s="1" t="s">
        <v>198</v>
      </c>
      <c r="E52" s="1" t="s">
        <v>199</v>
      </c>
      <c r="F52" s="1" t="s">
        <v>17</v>
      </c>
    </row>
    <row r="53" spans="1:6" x14ac:dyDescent="0.25">
      <c r="A53" s="1" t="s">
        <v>166</v>
      </c>
      <c r="B53" s="1" t="s">
        <v>2</v>
      </c>
      <c r="C53" s="1" t="s">
        <v>200</v>
      </c>
      <c r="D53" s="1" t="s">
        <v>201</v>
      </c>
      <c r="E53" s="1" t="s">
        <v>202</v>
      </c>
      <c r="F53" s="1" t="s">
        <v>73</v>
      </c>
    </row>
    <row r="54" spans="1:6" x14ac:dyDescent="0.25">
      <c r="A54" s="1" t="s">
        <v>167</v>
      </c>
      <c r="B54" s="1" t="s">
        <v>13</v>
      </c>
      <c r="C54" s="1" t="s">
        <v>188</v>
      </c>
      <c r="D54" s="1" t="s">
        <v>203</v>
      </c>
      <c r="E54" s="1" t="s">
        <v>204</v>
      </c>
      <c r="F54" s="1" t="s">
        <v>17</v>
      </c>
    </row>
    <row r="55" spans="1:6" x14ac:dyDescent="0.25">
      <c r="A55" s="1" t="s">
        <v>168</v>
      </c>
      <c r="B55" s="1" t="s">
        <v>2</v>
      </c>
      <c r="C55" s="1" t="s">
        <v>205</v>
      </c>
      <c r="D55" s="1" t="s">
        <v>206</v>
      </c>
      <c r="E55" s="1" t="s">
        <v>207</v>
      </c>
      <c r="F55" s="1" t="s">
        <v>17</v>
      </c>
    </row>
    <row r="56" spans="1:6" x14ac:dyDescent="0.25">
      <c r="A56" s="1" t="s">
        <v>169</v>
      </c>
      <c r="B56" s="1" t="s">
        <v>25</v>
      </c>
      <c r="C56" s="1" t="s">
        <v>208</v>
      </c>
      <c r="D56" s="1" t="s">
        <v>209</v>
      </c>
      <c r="E56" s="1" t="s">
        <v>210</v>
      </c>
      <c r="F56" s="1" t="s">
        <v>32</v>
      </c>
    </row>
    <row r="57" spans="1:6" x14ac:dyDescent="0.25">
      <c r="A57" s="1" t="s">
        <v>170</v>
      </c>
      <c r="B57" s="1" t="s">
        <v>2</v>
      </c>
      <c r="C57" s="1" t="s">
        <v>211</v>
      </c>
      <c r="D57" s="1" t="s">
        <v>212</v>
      </c>
      <c r="E57" s="1" t="s">
        <v>213</v>
      </c>
      <c r="F57" s="1" t="s">
        <v>23</v>
      </c>
    </row>
    <row r="58" spans="1:6" x14ac:dyDescent="0.25">
      <c r="A58" s="1" t="s">
        <v>214</v>
      </c>
      <c r="B58" s="1"/>
      <c r="C58" s="1"/>
      <c r="D58" s="1"/>
      <c r="E58" s="1"/>
      <c r="F58" s="1"/>
    </row>
    <row r="59" spans="1:6" x14ac:dyDescent="0.25">
      <c r="A59" s="1" t="s">
        <v>215</v>
      </c>
      <c r="B59" s="1" t="s">
        <v>25</v>
      </c>
      <c r="C59" s="1" t="s">
        <v>227</v>
      </c>
      <c r="D59" s="1" t="s">
        <v>228</v>
      </c>
      <c r="E59" s="1" t="s">
        <v>229</v>
      </c>
      <c r="F59" s="1" t="s">
        <v>102</v>
      </c>
    </row>
    <row r="60" spans="1:6" x14ac:dyDescent="0.25">
      <c r="A60" s="1" t="s">
        <v>216</v>
      </c>
      <c r="B60" s="1" t="s">
        <v>2</v>
      </c>
      <c r="C60" s="1" t="s">
        <v>230</v>
      </c>
      <c r="D60" s="1" t="s">
        <v>231</v>
      </c>
      <c r="E60" s="1" t="s">
        <v>232</v>
      </c>
      <c r="F60" s="1" t="s">
        <v>23</v>
      </c>
    </row>
    <row r="61" spans="1:6" x14ac:dyDescent="0.25">
      <c r="A61" s="1" t="s">
        <v>168</v>
      </c>
      <c r="B61" s="1" t="s">
        <v>2</v>
      </c>
      <c r="C61" s="1" t="s">
        <v>129</v>
      </c>
      <c r="D61" s="1" t="s">
        <v>233</v>
      </c>
      <c r="E61" s="1" t="s">
        <v>234</v>
      </c>
      <c r="F61" s="1" t="s">
        <v>23</v>
      </c>
    </row>
    <row r="62" spans="1:6" x14ac:dyDescent="0.25">
      <c r="A62" s="1" t="s">
        <v>217</v>
      </c>
      <c r="B62" s="1" t="s">
        <v>13</v>
      </c>
      <c r="C62" s="1" t="s">
        <v>235</v>
      </c>
      <c r="D62" s="1" t="s">
        <v>236</v>
      </c>
      <c r="E62" s="1" t="s">
        <v>237</v>
      </c>
      <c r="F62" s="1" t="s">
        <v>17</v>
      </c>
    </row>
    <row r="63" spans="1:6" x14ac:dyDescent="0.25">
      <c r="A63" s="1" t="s">
        <v>218</v>
      </c>
      <c r="B63" s="1" t="s">
        <v>2</v>
      </c>
      <c r="C63" s="1" t="s">
        <v>238</v>
      </c>
      <c r="D63" s="1" t="s">
        <v>239</v>
      </c>
      <c r="E63" s="1" t="s">
        <v>240</v>
      </c>
      <c r="F63" s="1" t="s">
        <v>72</v>
      </c>
    </row>
    <row r="64" spans="1:6" x14ac:dyDescent="0.25">
      <c r="A64" s="1" t="s">
        <v>106</v>
      </c>
      <c r="B64" s="1" t="s">
        <v>2</v>
      </c>
      <c r="C64" s="1" t="s">
        <v>241</v>
      </c>
      <c r="D64" s="1" t="s">
        <v>242</v>
      </c>
      <c r="E64" s="1" t="s">
        <v>243</v>
      </c>
      <c r="F64" s="1" t="s">
        <v>32</v>
      </c>
    </row>
    <row r="65" spans="1:6" x14ac:dyDescent="0.25">
      <c r="A65" s="1" t="s">
        <v>219</v>
      </c>
      <c r="B65" s="1" t="s">
        <v>13</v>
      </c>
      <c r="C65" s="1" t="s">
        <v>244</v>
      </c>
      <c r="D65" s="1" t="s">
        <v>245</v>
      </c>
      <c r="E65" s="1" t="s">
        <v>246</v>
      </c>
      <c r="F65" s="1" t="s">
        <v>32</v>
      </c>
    </row>
    <row r="66" spans="1:6" x14ac:dyDescent="0.25">
      <c r="A66" s="1" t="s">
        <v>220</v>
      </c>
      <c r="B66" s="1" t="s">
        <v>25</v>
      </c>
      <c r="C66" s="1" t="s">
        <v>247</v>
      </c>
      <c r="D66" s="1" t="s">
        <v>248</v>
      </c>
      <c r="E66" s="1" t="s">
        <v>249</v>
      </c>
      <c r="F66" s="1" t="s">
        <v>32</v>
      </c>
    </row>
    <row r="67" spans="1:6" x14ac:dyDescent="0.25">
      <c r="A67" s="1" t="s">
        <v>221</v>
      </c>
      <c r="B67" s="1" t="s">
        <v>19</v>
      </c>
      <c r="C67" s="1" t="s">
        <v>250</v>
      </c>
      <c r="D67" s="1" t="s">
        <v>251</v>
      </c>
      <c r="E67" s="1" t="s">
        <v>252</v>
      </c>
      <c r="F67" s="1" t="s">
        <v>32</v>
      </c>
    </row>
    <row r="68" spans="1:6" x14ac:dyDescent="0.25">
      <c r="A68" s="1" t="s">
        <v>222</v>
      </c>
      <c r="B68" s="1" t="s">
        <v>13</v>
      </c>
      <c r="C68" s="1" t="s">
        <v>253</v>
      </c>
      <c r="D68" s="1" t="s">
        <v>254</v>
      </c>
      <c r="E68" s="1" t="s">
        <v>255</v>
      </c>
      <c r="F68" s="1" t="s">
        <v>32</v>
      </c>
    </row>
    <row r="69" spans="1:6" x14ac:dyDescent="0.25">
      <c r="A69" s="1" t="s">
        <v>223</v>
      </c>
      <c r="B69" s="1" t="s">
        <v>19</v>
      </c>
      <c r="C69" s="1" t="s">
        <v>256</v>
      </c>
      <c r="D69" s="1" t="s">
        <v>257</v>
      </c>
      <c r="E69" s="1" t="s">
        <v>258</v>
      </c>
      <c r="F69" s="1" t="s">
        <v>32</v>
      </c>
    </row>
    <row r="70" spans="1:6" x14ac:dyDescent="0.25">
      <c r="A70" s="1" t="s">
        <v>224</v>
      </c>
      <c r="B70" s="1" t="s">
        <v>25</v>
      </c>
      <c r="C70" s="1" t="s">
        <v>259</v>
      </c>
      <c r="D70" s="1" t="s">
        <v>260</v>
      </c>
      <c r="E70" s="1" t="s">
        <v>261</v>
      </c>
      <c r="F70" s="1" t="s">
        <v>17</v>
      </c>
    </row>
    <row r="71" spans="1:6" x14ac:dyDescent="0.25">
      <c r="A71" s="1" t="s">
        <v>225</v>
      </c>
      <c r="B71" s="1" t="s">
        <v>25</v>
      </c>
      <c r="C71" s="1" t="s">
        <v>37</v>
      </c>
      <c r="D71" s="1" t="s">
        <v>262</v>
      </c>
      <c r="E71" s="1" t="s">
        <v>263</v>
      </c>
      <c r="F71" s="1" t="s">
        <v>32</v>
      </c>
    </row>
    <row r="72" spans="1:6" x14ac:dyDescent="0.25">
      <c r="A72" s="1" t="s">
        <v>137</v>
      </c>
      <c r="B72" s="1" t="s">
        <v>25</v>
      </c>
      <c r="C72" s="1" t="s">
        <v>264</v>
      </c>
      <c r="D72" s="1" t="s">
        <v>265</v>
      </c>
      <c r="E72" s="1" t="s">
        <v>266</v>
      </c>
      <c r="F72" s="1" t="s">
        <v>23</v>
      </c>
    </row>
    <row r="73" spans="1:6" x14ac:dyDescent="0.25">
      <c r="A73" s="1" t="s">
        <v>226</v>
      </c>
      <c r="B73" s="1" t="s">
        <v>19</v>
      </c>
      <c r="C73" s="1" t="s">
        <v>267</v>
      </c>
      <c r="D73" s="1" t="s">
        <v>268</v>
      </c>
      <c r="E73" s="1" t="s">
        <v>229</v>
      </c>
      <c r="F73" s="1" t="s">
        <v>23</v>
      </c>
    </row>
    <row r="74" spans="1:6" x14ac:dyDescent="0.25">
      <c r="A74" s="1" t="s">
        <v>269</v>
      </c>
      <c r="B74" s="1"/>
      <c r="C74" s="1"/>
      <c r="D74" s="1"/>
      <c r="E74" s="1"/>
      <c r="F74" s="1"/>
    </row>
    <row r="75" spans="1:6" x14ac:dyDescent="0.25">
      <c r="A75" s="1" t="s">
        <v>270</v>
      </c>
      <c r="B75" s="1" t="s">
        <v>13</v>
      </c>
      <c r="C75" s="1" t="s">
        <v>281</v>
      </c>
      <c r="D75" s="1" t="s">
        <v>282</v>
      </c>
      <c r="E75" s="1" t="s">
        <v>283</v>
      </c>
      <c r="F75" s="1" t="s">
        <v>102</v>
      </c>
    </row>
    <row r="76" spans="1:6" x14ac:dyDescent="0.25">
      <c r="A76" s="1" t="s">
        <v>271</v>
      </c>
      <c r="B76" s="1" t="s">
        <v>13</v>
      </c>
      <c r="C76" s="1" t="s">
        <v>284</v>
      </c>
      <c r="D76" s="1" t="s">
        <v>285</v>
      </c>
      <c r="E76" s="1" t="s">
        <v>286</v>
      </c>
      <c r="F76" s="1" t="s">
        <v>33</v>
      </c>
    </row>
    <row r="77" spans="1:6" x14ac:dyDescent="0.25">
      <c r="A77" s="1" t="s">
        <v>170</v>
      </c>
      <c r="B77" s="1" t="s">
        <v>25</v>
      </c>
      <c r="C77" s="1" t="s">
        <v>287</v>
      </c>
      <c r="D77" s="1" t="s">
        <v>288</v>
      </c>
      <c r="E77" s="1" t="s">
        <v>289</v>
      </c>
      <c r="F77" s="1" t="s">
        <v>33</v>
      </c>
    </row>
    <row r="78" spans="1:6" x14ac:dyDescent="0.25">
      <c r="A78" s="1" t="s">
        <v>216</v>
      </c>
      <c r="B78" s="1" t="s">
        <v>2</v>
      </c>
      <c r="C78" s="1" t="s">
        <v>290</v>
      </c>
      <c r="D78" s="1" t="s">
        <v>291</v>
      </c>
      <c r="E78" s="1" t="s">
        <v>292</v>
      </c>
      <c r="F78" s="1" t="s">
        <v>17</v>
      </c>
    </row>
    <row r="79" spans="1:6" x14ac:dyDescent="0.25">
      <c r="A79" s="1" t="s">
        <v>272</v>
      </c>
      <c r="B79" s="1" t="s">
        <v>19</v>
      </c>
      <c r="C79" s="1" t="s">
        <v>293</v>
      </c>
      <c r="D79" s="1" t="s">
        <v>294</v>
      </c>
      <c r="E79" s="1" t="s">
        <v>295</v>
      </c>
      <c r="F79" s="1" t="s">
        <v>19</v>
      </c>
    </row>
    <row r="80" spans="1:6" x14ac:dyDescent="0.25">
      <c r="A80" s="1" t="s">
        <v>273</v>
      </c>
      <c r="B80" s="1" t="s">
        <v>2</v>
      </c>
      <c r="C80" s="1" t="s">
        <v>14</v>
      </c>
      <c r="D80" s="1" t="s">
        <v>296</v>
      </c>
      <c r="E80" s="1" t="s">
        <v>297</v>
      </c>
      <c r="F80" s="1" t="s">
        <v>33</v>
      </c>
    </row>
    <row r="81" spans="1:6" x14ac:dyDescent="0.25">
      <c r="A81" s="1" t="s">
        <v>274</v>
      </c>
      <c r="B81" s="1" t="s">
        <v>2</v>
      </c>
      <c r="C81" s="1" t="s">
        <v>298</v>
      </c>
      <c r="D81" s="1" t="s">
        <v>299</v>
      </c>
      <c r="E81" s="1" t="s">
        <v>300</v>
      </c>
      <c r="F81" s="1" t="s">
        <v>17</v>
      </c>
    </row>
    <row r="82" spans="1:6" x14ac:dyDescent="0.25">
      <c r="A82" s="1" t="s">
        <v>161</v>
      </c>
      <c r="B82" s="1" t="s">
        <v>25</v>
      </c>
      <c r="C82" s="1" t="s">
        <v>301</v>
      </c>
      <c r="D82" s="1" t="s">
        <v>302</v>
      </c>
      <c r="E82" s="1" t="s">
        <v>303</v>
      </c>
      <c r="F82" s="1" t="s">
        <v>32</v>
      </c>
    </row>
    <row r="83" spans="1:6" x14ac:dyDescent="0.25">
      <c r="A83" s="1" t="s">
        <v>221</v>
      </c>
      <c r="B83" s="1" t="s">
        <v>13</v>
      </c>
      <c r="C83" s="1" t="s">
        <v>304</v>
      </c>
      <c r="D83" s="1" t="s">
        <v>305</v>
      </c>
      <c r="E83" s="1" t="s">
        <v>306</v>
      </c>
      <c r="F83" s="1" t="s">
        <v>33</v>
      </c>
    </row>
    <row r="84" spans="1:6" x14ac:dyDescent="0.25">
      <c r="A84" s="1" t="s">
        <v>275</v>
      </c>
      <c r="B84" s="1" t="s">
        <v>19</v>
      </c>
      <c r="C84" s="1" t="s">
        <v>307</v>
      </c>
      <c r="D84" s="1" t="s">
        <v>308</v>
      </c>
      <c r="E84" s="1" t="s">
        <v>309</v>
      </c>
      <c r="F84" s="1" t="s">
        <v>72</v>
      </c>
    </row>
    <row r="85" spans="1:6" x14ac:dyDescent="0.25">
      <c r="A85" s="1" t="s">
        <v>276</v>
      </c>
      <c r="B85" s="1" t="s">
        <v>2</v>
      </c>
      <c r="C85" s="1" t="s">
        <v>310</v>
      </c>
      <c r="D85" s="1" t="s">
        <v>311</v>
      </c>
      <c r="E85" s="1" t="s">
        <v>312</v>
      </c>
      <c r="F85" s="1" t="s">
        <v>33</v>
      </c>
    </row>
    <row r="86" spans="1:6" x14ac:dyDescent="0.25">
      <c r="A86" s="1" t="s">
        <v>277</v>
      </c>
      <c r="B86" s="1" t="s">
        <v>13</v>
      </c>
      <c r="C86" s="1" t="s">
        <v>313</v>
      </c>
      <c r="D86" s="1" t="s">
        <v>314</v>
      </c>
      <c r="E86" s="1" t="s">
        <v>315</v>
      </c>
      <c r="F86" s="1" t="s">
        <v>17</v>
      </c>
    </row>
    <row r="87" spans="1:6" x14ac:dyDescent="0.25">
      <c r="A87" s="1" t="s">
        <v>278</v>
      </c>
      <c r="B87" s="1" t="s">
        <v>19</v>
      </c>
      <c r="C87" s="1" t="s">
        <v>316</v>
      </c>
      <c r="D87" s="1" t="s">
        <v>317</v>
      </c>
      <c r="E87" s="1" t="s">
        <v>318</v>
      </c>
      <c r="F87" s="1" t="s">
        <v>17</v>
      </c>
    </row>
    <row r="88" spans="1:6" x14ac:dyDescent="0.25">
      <c r="A88" s="1" t="s">
        <v>279</v>
      </c>
      <c r="B88" s="1" t="s">
        <v>25</v>
      </c>
      <c r="C88" s="1" t="s">
        <v>319</v>
      </c>
      <c r="D88" s="1" t="s">
        <v>320</v>
      </c>
      <c r="E88" s="1" t="s">
        <v>321</v>
      </c>
      <c r="F88" s="1" t="s">
        <v>17</v>
      </c>
    </row>
    <row r="89" spans="1:6" x14ac:dyDescent="0.25">
      <c r="A89" s="1" t="s">
        <v>280</v>
      </c>
      <c r="B89" s="1" t="s">
        <v>25</v>
      </c>
      <c r="C89" s="1" t="s">
        <v>322</v>
      </c>
      <c r="D89" s="1" t="s">
        <v>323</v>
      </c>
      <c r="E89" s="1" t="s">
        <v>324</v>
      </c>
      <c r="F89" s="1" t="s">
        <v>32</v>
      </c>
    </row>
    <row r="90" spans="1:6" x14ac:dyDescent="0.25">
      <c r="A90" s="1" t="s">
        <v>326</v>
      </c>
      <c r="B90" s="1"/>
      <c r="C90" s="1"/>
      <c r="D90" s="1"/>
      <c r="E90" s="1"/>
      <c r="F90" s="1"/>
    </row>
    <row r="91" spans="1:6" x14ac:dyDescent="0.25">
      <c r="A91" s="1" t="s">
        <v>327</v>
      </c>
      <c r="B91" s="1" t="s">
        <v>2</v>
      </c>
      <c r="C91" s="1" t="s">
        <v>340</v>
      </c>
      <c r="D91" s="1" t="s">
        <v>341</v>
      </c>
      <c r="E91" s="1" t="s">
        <v>342</v>
      </c>
      <c r="F91" s="1" t="s">
        <v>10</v>
      </c>
    </row>
    <row r="92" spans="1:6" x14ac:dyDescent="0.25">
      <c r="A92" s="1" t="s">
        <v>328</v>
      </c>
      <c r="B92" s="1" t="s">
        <v>2</v>
      </c>
      <c r="C92" s="1" t="s">
        <v>343</v>
      </c>
      <c r="D92" s="1" t="s">
        <v>344</v>
      </c>
      <c r="E92" s="1" t="s">
        <v>345</v>
      </c>
      <c r="F92" s="1" t="s">
        <v>23</v>
      </c>
    </row>
    <row r="93" spans="1:6" x14ac:dyDescent="0.25">
      <c r="A93" s="1" t="s">
        <v>329</v>
      </c>
      <c r="B93" s="1" t="s">
        <v>2</v>
      </c>
      <c r="C93" s="1" t="s">
        <v>346</v>
      </c>
      <c r="D93" s="1" t="s">
        <v>347</v>
      </c>
      <c r="E93" s="1" t="s">
        <v>348</v>
      </c>
      <c r="F93" s="1" t="s">
        <v>17</v>
      </c>
    </row>
    <row r="94" spans="1:6" x14ac:dyDescent="0.25">
      <c r="A94" s="1" t="s">
        <v>330</v>
      </c>
      <c r="B94" s="1" t="s">
        <v>13</v>
      </c>
      <c r="C94" s="1" t="s">
        <v>349</v>
      </c>
      <c r="D94" s="1" t="s">
        <v>350</v>
      </c>
      <c r="E94" s="1" t="s">
        <v>351</v>
      </c>
      <c r="F94" s="1" t="s">
        <v>32</v>
      </c>
    </row>
    <row r="95" spans="1:6" x14ac:dyDescent="0.25">
      <c r="A95" s="1" t="s">
        <v>275</v>
      </c>
      <c r="B95" s="1" t="s">
        <v>25</v>
      </c>
      <c r="C95" s="1" t="s">
        <v>141</v>
      </c>
      <c r="D95" s="1" t="s">
        <v>352</v>
      </c>
      <c r="E95" s="1" t="s">
        <v>353</v>
      </c>
      <c r="F95" s="1" t="s">
        <v>23</v>
      </c>
    </row>
    <row r="96" spans="1:6" x14ac:dyDescent="0.25">
      <c r="A96" s="1" t="s">
        <v>331</v>
      </c>
      <c r="B96" s="1" t="s">
        <v>13</v>
      </c>
      <c r="C96" s="1" t="s">
        <v>354</v>
      </c>
      <c r="D96" s="1" t="s">
        <v>355</v>
      </c>
      <c r="E96" s="1" t="s">
        <v>356</v>
      </c>
      <c r="F96" s="1" t="s">
        <v>17</v>
      </c>
    </row>
    <row r="97" spans="1:6" x14ac:dyDescent="0.25">
      <c r="A97" s="1" t="s">
        <v>332</v>
      </c>
      <c r="B97" s="1" t="s">
        <v>13</v>
      </c>
      <c r="C97" s="1" t="s">
        <v>235</v>
      </c>
      <c r="D97" s="1" t="s">
        <v>357</v>
      </c>
      <c r="E97" s="1" t="s">
        <v>358</v>
      </c>
      <c r="F97" s="1" t="s">
        <v>17</v>
      </c>
    </row>
    <row r="98" spans="1:6" x14ac:dyDescent="0.25">
      <c r="A98" s="1" t="s">
        <v>333</v>
      </c>
      <c r="B98" s="1" t="s">
        <v>2</v>
      </c>
      <c r="C98" s="1" t="s">
        <v>194</v>
      </c>
      <c r="D98" s="1" t="s">
        <v>359</v>
      </c>
      <c r="E98" s="1" t="s">
        <v>360</v>
      </c>
      <c r="F98" s="1" t="s">
        <v>23</v>
      </c>
    </row>
    <row r="99" spans="1:6" x14ac:dyDescent="0.25">
      <c r="A99" s="1" t="s">
        <v>220</v>
      </c>
      <c r="B99" s="1" t="s">
        <v>25</v>
      </c>
      <c r="C99" s="1" t="s">
        <v>361</v>
      </c>
      <c r="D99" s="1" t="s">
        <v>362</v>
      </c>
      <c r="E99" s="1" t="s">
        <v>363</v>
      </c>
      <c r="F99" s="1" t="s">
        <v>32</v>
      </c>
    </row>
    <row r="100" spans="1:6" x14ac:dyDescent="0.25">
      <c r="A100" s="1" t="s">
        <v>334</v>
      </c>
      <c r="B100" s="1" t="s">
        <v>2</v>
      </c>
      <c r="C100" s="1" t="s">
        <v>364</v>
      </c>
      <c r="D100" s="1" t="s">
        <v>365</v>
      </c>
      <c r="E100" s="1" t="s">
        <v>366</v>
      </c>
      <c r="F100" s="1" t="s">
        <v>33</v>
      </c>
    </row>
    <row r="101" spans="1:6" x14ac:dyDescent="0.25">
      <c r="A101" s="1" t="s">
        <v>335</v>
      </c>
      <c r="B101" s="1" t="s">
        <v>2</v>
      </c>
      <c r="C101" s="1" t="s">
        <v>367</v>
      </c>
      <c r="D101" s="1" t="s">
        <v>368</v>
      </c>
      <c r="E101" s="1" t="s">
        <v>369</v>
      </c>
      <c r="F101" s="1" t="s">
        <v>73</v>
      </c>
    </row>
    <row r="102" spans="1:6" x14ac:dyDescent="0.25">
      <c r="A102" s="1" t="s">
        <v>336</v>
      </c>
      <c r="B102" s="1" t="s">
        <v>19</v>
      </c>
      <c r="C102" s="1" t="s">
        <v>171</v>
      </c>
      <c r="D102" s="1" t="s">
        <v>370</v>
      </c>
      <c r="E102" s="1" t="s">
        <v>371</v>
      </c>
      <c r="F102" s="1" t="s">
        <v>32</v>
      </c>
    </row>
    <row r="103" spans="1:6" x14ac:dyDescent="0.25">
      <c r="A103" s="1" t="s">
        <v>337</v>
      </c>
      <c r="B103" s="1" t="s">
        <v>25</v>
      </c>
      <c r="C103" s="1" t="s">
        <v>372</v>
      </c>
      <c r="D103" s="1" t="s">
        <v>373</v>
      </c>
      <c r="E103" s="1" t="s">
        <v>374</v>
      </c>
      <c r="F103" s="1" t="s">
        <v>32</v>
      </c>
    </row>
    <row r="104" spans="1:6" x14ac:dyDescent="0.25">
      <c r="A104" s="1" t="s">
        <v>338</v>
      </c>
      <c r="B104" s="1" t="s">
        <v>13</v>
      </c>
      <c r="C104" s="1" t="s">
        <v>375</v>
      </c>
      <c r="D104" s="1" t="s">
        <v>376</v>
      </c>
      <c r="E104" s="1" t="s">
        <v>377</v>
      </c>
      <c r="F104" s="1" t="s">
        <v>32</v>
      </c>
    </row>
    <row r="105" spans="1:6" x14ac:dyDescent="0.25">
      <c r="A105" s="1" t="s">
        <v>339</v>
      </c>
      <c r="B105" s="1" t="s">
        <v>2</v>
      </c>
      <c r="C105" s="1" t="s">
        <v>378</v>
      </c>
      <c r="D105" s="1" t="s">
        <v>379</v>
      </c>
      <c r="E105" s="1" t="s">
        <v>380</v>
      </c>
      <c r="F105" s="1" t="s">
        <v>33</v>
      </c>
    </row>
    <row r="106" spans="1:6" x14ac:dyDescent="0.25">
      <c r="A106" s="1" t="s">
        <v>382</v>
      </c>
      <c r="B106" s="1"/>
      <c r="C106" s="1"/>
      <c r="D106" s="1"/>
      <c r="E106" s="1"/>
      <c r="F106" s="1"/>
    </row>
    <row r="107" spans="1:6" x14ac:dyDescent="0.25">
      <c r="A107" s="1" t="s">
        <v>383</v>
      </c>
      <c r="B107" s="1" t="s">
        <v>19</v>
      </c>
      <c r="C107" s="1" t="s">
        <v>393</v>
      </c>
      <c r="D107" s="1" t="s">
        <v>394</v>
      </c>
      <c r="E107" s="1" t="s">
        <v>395</v>
      </c>
      <c r="F107" s="1" t="s">
        <v>10</v>
      </c>
    </row>
    <row r="108" spans="1:6" x14ac:dyDescent="0.25">
      <c r="A108" s="1" t="s">
        <v>384</v>
      </c>
      <c r="B108" s="1" t="s">
        <v>2</v>
      </c>
      <c r="C108" s="1" t="s">
        <v>396</v>
      </c>
      <c r="D108" s="1" t="s">
        <v>397</v>
      </c>
      <c r="E108" s="1" t="s">
        <v>398</v>
      </c>
      <c r="F108" s="1" t="s">
        <v>23</v>
      </c>
    </row>
    <row r="109" spans="1:6" x14ac:dyDescent="0.25">
      <c r="A109" s="1" t="s">
        <v>385</v>
      </c>
      <c r="B109" s="1" t="s">
        <v>25</v>
      </c>
      <c r="C109" s="1" t="s">
        <v>313</v>
      </c>
      <c r="D109" s="1" t="s">
        <v>399</v>
      </c>
      <c r="E109" s="1" t="s">
        <v>400</v>
      </c>
      <c r="F109" s="1" t="s">
        <v>17</v>
      </c>
    </row>
    <row r="110" spans="1:6" x14ac:dyDescent="0.25">
      <c r="A110" s="1" t="s">
        <v>386</v>
      </c>
      <c r="B110" s="1" t="s">
        <v>2</v>
      </c>
      <c r="C110" s="1" t="s">
        <v>401</v>
      </c>
      <c r="D110" s="1" t="s">
        <v>350</v>
      </c>
      <c r="E110" s="1" t="s">
        <v>402</v>
      </c>
      <c r="F110" s="1" t="s">
        <v>33</v>
      </c>
    </row>
    <row r="111" spans="1:6" x14ac:dyDescent="0.25">
      <c r="A111" s="1" t="s">
        <v>387</v>
      </c>
      <c r="B111" s="1" t="s">
        <v>2</v>
      </c>
      <c r="C111" s="1" t="s">
        <v>403</v>
      </c>
      <c r="D111" s="1" t="s">
        <v>404</v>
      </c>
      <c r="E111" s="1" t="s">
        <v>405</v>
      </c>
      <c r="F111" s="1" t="s">
        <v>23</v>
      </c>
    </row>
    <row r="112" spans="1:6" x14ac:dyDescent="0.25">
      <c r="A112" s="1" t="s">
        <v>170</v>
      </c>
      <c r="B112" s="1" t="s">
        <v>2</v>
      </c>
      <c r="C112" s="1" t="s">
        <v>143</v>
      </c>
      <c r="D112" s="1" t="s">
        <v>406</v>
      </c>
      <c r="E112" s="1" t="s">
        <v>407</v>
      </c>
      <c r="F112" s="1" t="s">
        <v>33</v>
      </c>
    </row>
    <row r="113" spans="1:6" x14ac:dyDescent="0.25">
      <c r="A113" s="1" t="s">
        <v>388</v>
      </c>
      <c r="B113" s="1" t="s">
        <v>25</v>
      </c>
      <c r="C113" s="1" t="s">
        <v>408</v>
      </c>
      <c r="D113" s="1" t="s">
        <v>409</v>
      </c>
      <c r="E113" s="1" t="s">
        <v>410</v>
      </c>
      <c r="F113" s="1" t="s">
        <v>17</v>
      </c>
    </row>
    <row r="114" spans="1:6" x14ac:dyDescent="0.25">
      <c r="A114" s="1" t="s">
        <v>389</v>
      </c>
      <c r="B114" s="1" t="s">
        <v>19</v>
      </c>
      <c r="C114" s="1" t="s">
        <v>182</v>
      </c>
      <c r="D114" s="1" t="s">
        <v>411</v>
      </c>
      <c r="E114" s="1" t="s">
        <v>412</v>
      </c>
      <c r="F114" s="1" t="s">
        <v>32</v>
      </c>
    </row>
    <row r="115" spans="1:6" x14ac:dyDescent="0.25">
      <c r="A115" s="1" t="s">
        <v>333</v>
      </c>
      <c r="B115" s="1" t="s">
        <v>19</v>
      </c>
      <c r="C115" s="1" t="s">
        <v>401</v>
      </c>
      <c r="D115" s="1" t="s">
        <v>413</v>
      </c>
      <c r="E115" s="1" t="s">
        <v>414</v>
      </c>
      <c r="F115" s="1" t="s">
        <v>33</v>
      </c>
    </row>
    <row r="116" spans="1:6" x14ac:dyDescent="0.25">
      <c r="A116" s="1" t="s">
        <v>164</v>
      </c>
      <c r="B116" s="1" t="s">
        <v>19</v>
      </c>
      <c r="C116" s="1" t="s">
        <v>415</v>
      </c>
      <c r="D116" s="1" t="s">
        <v>416</v>
      </c>
      <c r="E116" s="1" t="s">
        <v>417</v>
      </c>
      <c r="F116" s="1" t="s">
        <v>19</v>
      </c>
    </row>
    <row r="117" spans="1:6" x14ac:dyDescent="0.25">
      <c r="A117" s="1" t="s">
        <v>390</v>
      </c>
      <c r="B117" s="1" t="s">
        <v>2</v>
      </c>
      <c r="C117" s="1" t="s">
        <v>418</v>
      </c>
      <c r="D117" s="1" t="s">
        <v>419</v>
      </c>
      <c r="E117" s="1" t="s">
        <v>420</v>
      </c>
      <c r="F117" s="1" t="s">
        <v>17</v>
      </c>
    </row>
    <row r="118" spans="1:6" x14ac:dyDescent="0.25">
      <c r="A118" s="1" t="s">
        <v>391</v>
      </c>
      <c r="B118" s="1" t="s">
        <v>2</v>
      </c>
      <c r="C118" s="1" t="s">
        <v>421</v>
      </c>
      <c r="D118" s="1" t="s">
        <v>422</v>
      </c>
      <c r="E118" s="1" t="s">
        <v>423</v>
      </c>
      <c r="F118" s="1" t="s">
        <v>72</v>
      </c>
    </row>
    <row r="119" spans="1:6" x14ac:dyDescent="0.25">
      <c r="A119" s="1" t="s">
        <v>338</v>
      </c>
      <c r="B119" s="1" t="s">
        <v>25</v>
      </c>
      <c r="C119" s="1" t="s">
        <v>238</v>
      </c>
      <c r="D119" s="1" t="s">
        <v>424</v>
      </c>
      <c r="E119" s="1" t="s">
        <v>425</v>
      </c>
      <c r="F119" s="1" t="s">
        <v>32</v>
      </c>
    </row>
    <row r="120" spans="1:6" x14ac:dyDescent="0.25">
      <c r="A120" s="1" t="s">
        <v>279</v>
      </c>
      <c r="B120" s="1" t="s">
        <v>25</v>
      </c>
      <c r="C120" s="1" t="s">
        <v>426</v>
      </c>
      <c r="D120" s="1" t="s">
        <v>427</v>
      </c>
      <c r="E120" s="1" t="s">
        <v>428</v>
      </c>
      <c r="F120" s="1" t="s">
        <v>33</v>
      </c>
    </row>
    <row r="121" spans="1:6" x14ac:dyDescent="0.25">
      <c r="A121" s="1" t="s">
        <v>392</v>
      </c>
      <c r="B121" s="1" t="s">
        <v>13</v>
      </c>
      <c r="C121" s="1" t="s">
        <v>429</v>
      </c>
      <c r="D121" s="1" t="s">
        <v>430</v>
      </c>
      <c r="E121" s="1" t="s">
        <v>431</v>
      </c>
      <c r="F121" s="1" t="s">
        <v>32</v>
      </c>
    </row>
    <row r="122" spans="1:6" x14ac:dyDescent="0.25">
      <c r="A122" s="1" t="s">
        <v>433</v>
      </c>
      <c r="B122" s="1"/>
      <c r="C122" s="1"/>
      <c r="D122" s="1"/>
      <c r="E122" s="1"/>
      <c r="F122" s="1"/>
    </row>
    <row r="123" spans="1:6" x14ac:dyDescent="0.25">
      <c r="A123" s="1" t="s">
        <v>434</v>
      </c>
      <c r="B123" s="1" t="s">
        <v>2</v>
      </c>
      <c r="C123" s="1" t="s">
        <v>442</v>
      </c>
      <c r="D123" s="1" t="s">
        <v>443</v>
      </c>
      <c r="E123" s="1" t="s">
        <v>444</v>
      </c>
      <c r="F123" s="1" t="s">
        <v>381</v>
      </c>
    </row>
    <row r="124" spans="1:6" x14ac:dyDescent="0.25">
      <c r="A124" s="1" t="s">
        <v>135</v>
      </c>
      <c r="B124" s="1" t="s">
        <v>2</v>
      </c>
      <c r="C124" s="1" t="s">
        <v>445</v>
      </c>
      <c r="D124" s="1" t="s">
        <v>446</v>
      </c>
      <c r="E124" s="1" t="s">
        <v>447</v>
      </c>
      <c r="F124" s="1" t="s">
        <v>33</v>
      </c>
    </row>
    <row r="125" spans="1:6" x14ac:dyDescent="0.25">
      <c r="A125" s="1" t="s">
        <v>106</v>
      </c>
      <c r="B125" s="1" t="s">
        <v>25</v>
      </c>
      <c r="C125" s="1" t="s">
        <v>448</v>
      </c>
      <c r="D125" s="1" t="s">
        <v>449</v>
      </c>
      <c r="E125" s="1" t="s">
        <v>450</v>
      </c>
      <c r="F125" s="1" t="s">
        <v>17</v>
      </c>
    </row>
    <row r="126" spans="1:6" x14ac:dyDescent="0.25">
      <c r="A126" s="1" t="s">
        <v>435</v>
      </c>
      <c r="B126" s="1" t="s">
        <v>13</v>
      </c>
      <c r="C126" s="1" t="s">
        <v>451</v>
      </c>
      <c r="D126" s="1" t="s">
        <v>452</v>
      </c>
      <c r="E126" s="1" t="s">
        <v>453</v>
      </c>
      <c r="F126" s="1" t="s">
        <v>17</v>
      </c>
    </row>
    <row r="127" spans="1:6" x14ac:dyDescent="0.25">
      <c r="A127" s="1" t="s">
        <v>164</v>
      </c>
      <c r="B127" s="1" t="s">
        <v>25</v>
      </c>
      <c r="C127" s="1" t="s">
        <v>298</v>
      </c>
      <c r="D127" s="1" t="s">
        <v>454</v>
      </c>
      <c r="E127" s="1" t="s">
        <v>455</v>
      </c>
      <c r="F127" s="1" t="s">
        <v>17</v>
      </c>
    </row>
    <row r="128" spans="1:6" x14ac:dyDescent="0.25">
      <c r="A128" s="1" t="s">
        <v>436</v>
      </c>
      <c r="B128" s="1" t="s">
        <v>2</v>
      </c>
      <c r="C128" s="1" t="s">
        <v>456</v>
      </c>
      <c r="D128" s="1" t="s">
        <v>457</v>
      </c>
      <c r="E128" s="1" t="s">
        <v>458</v>
      </c>
      <c r="F128" s="1" t="s">
        <v>32</v>
      </c>
    </row>
    <row r="129" spans="1:6" x14ac:dyDescent="0.25">
      <c r="A129" s="1" t="s">
        <v>437</v>
      </c>
      <c r="B129" s="1" t="s">
        <v>13</v>
      </c>
      <c r="C129" s="1" t="s">
        <v>123</v>
      </c>
      <c r="D129" s="1" t="s">
        <v>459</v>
      </c>
      <c r="E129" s="1" t="s">
        <v>460</v>
      </c>
      <c r="F129" s="1" t="s">
        <v>17</v>
      </c>
    </row>
    <row r="130" spans="1:6" x14ac:dyDescent="0.25">
      <c r="A130" s="1" t="s">
        <v>438</v>
      </c>
      <c r="B130" s="1" t="s">
        <v>13</v>
      </c>
      <c r="C130" s="1" t="s">
        <v>461</v>
      </c>
      <c r="D130" s="1" t="s">
        <v>462</v>
      </c>
      <c r="E130" s="1" t="s">
        <v>463</v>
      </c>
      <c r="F130" s="1" t="s">
        <v>72</v>
      </c>
    </row>
    <row r="131" spans="1:6" x14ac:dyDescent="0.25">
      <c r="A131" s="1" t="s">
        <v>333</v>
      </c>
      <c r="B131" s="1" t="s">
        <v>2</v>
      </c>
      <c r="C131" s="1" t="s">
        <v>464</v>
      </c>
      <c r="D131" s="1" t="s">
        <v>465</v>
      </c>
      <c r="E131" s="1" t="s">
        <v>466</v>
      </c>
      <c r="F131" s="1" t="s">
        <v>17</v>
      </c>
    </row>
    <row r="132" spans="1:6" x14ac:dyDescent="0.25">
      <c r="A132" s="1" t="s">
        <v>161</v>
      </c>
      <c r="B132" s="1" t="s">
        <v>2</v>
      </c>
      <c r="C132" s="1" t="s">
        <v>467</v>
      </c>
      <c r="D132" s="1" t="s">
        <v>468</v>
      </c>
      <c r="E132" s="1" t="s">
        <v>469</v>
      </c>
      <c r="F132" s="1" t="s">
        <v>17</v>
      </c>
    </row>
    <row r="133" spans="1:6" x14ac:dyDescent="0.25">
      <c r="A133" s="1" t="s">
        <v>439</v>
      </c>
      <c r="B133" s="1" t="s">
        <v>25</v>
      </c>
      <c r="C133" s="1" t="s">
        <v>364</v>
      </c>
      <c r="D133" s="1" t="s">
        <v>470</v>
      </c>
      <c r="E133" s="1" t="s">
        <v>471</v>
      </c>
      <c r="F133" s="1" t="s">
        <v>33</v>
      </c>
    </row>
    <row r="134" spans="1:6" x14ac:dyDescent="0.25">
      <c r="A134" s="1" t="s">
        <v>440</v>
      </c>
      <c r="B134" s="1" t="s">
        <v>19</v>
      </c>
      <c r="C134" s="1" t="s">
        <v>267</v>
      </c>
      <c r="D134" s="1" t="s">
        <v>472</v>
      </c>
      <c r="E134" s="1" t="s">
        <v>473</v>
      </c>
      <c r="F134" s="1" t="s">
        <v>72</v>
      </c>
    </row>
    <row r="135" spans="1:6" x14ac:dyDescent="0.25">
      <c r="A135" s="1" t="s">
        <v>441</v>
      </c>
      <c r="B135" s="1" t="s">
        <v>25</v>
      </c>
      <c r="C135" s="1" t="s">
        <v>474</v>
      </c>
      <c r="D135" s="1" t="s">
        <v>475</v>
      </c>
      <c r="E135" s="1" t="s">
        <v>476</v>
      </c>
      <c r="F135" s="1" t="s">
        <v>17</v>
      </c>
    </row>
    <row r="136" spans="1:6" x14ac:dyDescent="0.25">
      <c r="A136" s="1" t="s">
        <v>170</v>
      </c>
      <c r="B136" s="1" t="s">
        <v>25</v>
      </c>
      <c r="C136" s="1" t="s">
        <v>117</v>
      </c>
      <c r="D136" s="1" t="s">
        <v>477</v>
      </c>
      <c r="E136" s="1" t="s">
        <v>478</v>
      </c>
      <c r="F136" s="1" t="s">
        <v>23</v>
      </c>
    </row>
    <row r="137" spans="1:6" x14ac:dyDescent="0.25">
      <c r="A137" s="1" t="s">
        <v>392</v>
      </c>
      <c r="B137" s="1" t="s">
        <v>2</v>
      </c>
      <c r="C137" s="1" t="s">
        <v>479</v>
      </c>
      <c r="D137" s="1" t="s">
        <v>480</v>
      </c>
      <c r="E137" s="1" t="s">
        <v>481</v>
      </c>
      <c r="F137" s="1" t="s">
        <v>33</v>
      </c>
    </row>
    <row r="138" spans="1:6" x14ac:dyDescent="0.25">
      <c r="A138" s="1" t="s">
        <v>482</v>
      </c>
      <c r="B138" s="1"/>
      <c r="C138" s="1"/>
      <c r="D138" s="1"/>
      <c r="E138" s="1"/>
      <c r="F138" s="1"/>
    </row>
    <row r="139" spans="1:6" x14ac:dyDescent="0.25">
      <c r="A139" s="1" t="s">
        <v>483</v>
      </c>
      <c r="B139" s="1" t="s">
        <v>25</v>
      </c>
      <c r="C139" s="1" t="s">
        <v>493</v>
      </c>
      <c r="D139" s="1" t="s">
        <v>494</v>
      </c>
      <c r="E139" s="1" t="s">
        <v>495</v>
      </c>
      <c r="F139" s="1" t="s">
        <v>10</v>
      </c>
    </row>
    <row r="140" spans="1:6" x14ac:dyDescent="0.25">
      <c r="A140" s="1" t="s">
        <v>484</v>
      </c>
      <c r="B140" s="1" t="s">
        <v>2</v>
      </c>
      <c r="C140" s="1" t="s">
        <v>496</v>
      </c>
      <c r="D140" s="1" t="s">
        <v>497</v>
      </c>
      <c r="E140" s="1" t="s">
        <v>498</v>
      </c>
      <c r="F140" s="1" t="s">
        <v>33</v>
      </c>
    </row>
    <row r="141" spans="1:6" x14ac:dyDescent="0.25">
      <c r="A141" s="1" t="s">
        <v>440</v>
      </c>
      <c r="B141" s="1" t="s">
        <v>2</v>
      </c>
      <c r="C141" s="1" t="s">
        <v>499</v>
      </c>
      <c r="D141" s="1" t="s">
        <v>500</v>
      </c>
      <c r="E141" s="1" t="s">
        <v>501</v>
      </c>
      <c r="F141" s="1" t="s">
        <v>32</v>
      </c>
    </row>
    <row r="142" spans="1:6" x14ac:dyDescent="0.25">
      <c r="A142" s="1" t="s">
        <v>485</v>
      </c>
      <c r="B142" s="1" t="s">
        <v>19</v>
      </c>
      <c r="C142" s="1" t="s">
        <v>502</v>
      </c>
      <c r="D142" s="1" t="s">
        <v>503</v>
      </c>
      <c r="E142" s="1" t="s">
        <v>504</v>
      </c>
      <c r="F142" s="1" t="s">
        <v>32</v>
      </c>
    </row>
    <row r="143" spans="1:6" x14ac:dyDescent="0.25">
      <c r="A143" s="1" t="s">
        <v>486</v>
      </c>
      <c r="B143" s="1" t="s">
        <v>13</v>
      </c>
      <c r="C143" s="1" t="s">
        <v>287</v>
      </c>
      <c r="D143" s="1" t="s">
        <v>505</v>
      </c>
      <c r="E143" s="1" t="s">
        <v>506</v>
      </c>
      <c r="F143" s="1" t="s">
        <v>17</v>
      </c>
    </row>
    <row r="144" spans="1:6" x14ac:dyDescent="0.25">
      <c r="A144" s="1" t="s">
        <v>487</v>
      </c>
      <c r="B144" s="1" t="s">
        <v>25</v>
      </c>
      <c r="C144" s="1" t="s">
        <v>507</v>
      </c>
      <c r="D144" s="1" t="s">
        <v>508</v>
      </c>
      <c r="E144" s="1" t="s">
        <v>509</v>
      </c>
      <c r="F144" s="1" t="s">
        <v>19</v>
      </c>
    </row>
    <row r="145" spans="1:6" x14ac:dyDescent="0.25">
      <c r="A145" s="1" t="s">
        <v>224</v>
      </c>
      <c r="B145" s="1" t="s">
        <v>13</v>
      </c>
      <c r="C145" s="1" t="s">
        <v>510</v>
      </c>
      <c r="D145" s="1" t="s">
        <v>511</v>
      </c>
      <c r="E145" s="1" t="s">
        <v>495</v>
      </c>
      <c r="F145" s="1" t="s">
        <v>19</v>
      </c>
    </row>
    <row r="146" spans="1:6" x14ac:dyDescent="0.25">
      <c r="A146" s="1" t="s">
        <v>488</v>
      </c>
      <c r="B146" s="1" t="s">
        <v>13</v>
      </c>
      <c r="C146" s="1" t="s">
        <v>512</v>
      </c>
      <c r="D146" s="1" t="s">
        <v>513</v>
      </c>
      <c r="E146" s="1" t="s">
        <v>514</v>
      </c>
      <c r="F146" s="1" t="s">
        <v>32</v>
      </c>
    </row>
    <row r="147" spans="1:6" x14ac:dyDescent="0.25">
      <c r="A147" s="1" t="s">
        <v>489</v>
      </c>
      <c r="B147" s="1" t="s">
        <v>13</v>
      </c>
      <c r="C147" s="1" t="s">
        <v>515</v>
      </c>
      <c r="D147" s="1" t="s">
        <v>516</v>
      </c>
      <c r="E147" s="1" t="s">
        <v>517</v>
      </c>
      <c r="F147" s="1" t="s">
        <v>33</v>
      </c>
    </row>
    <row r="148" spans="1:6" x14ac:dyDescent="0.25">
      <c r="A148" s="1" t="s">
        <v>384</v>
      </c>
      <c r="B148" s="1" t="s">
        <v>19</v>
      </c>
      <c r="C148" s="1" t="s">
        <v>518</v>
      </c>
      <c r="D148" s="1" t="s">
        <v>519</v>
      </c>
      <c r="E148" s="1" t="s">
        <v>520</v>
      </c>
      <c r="F148" s="1" t="s">
        <v>32</v>
      </c>
    </row>
    <row r="149" spans="1:6" x14ac:dyDescent="0.25">
      <c r="A149" s="1" t="s">
        <v>490</v>
      </c>
      <c r="B149" s="1" t="s">
        <v>2</v>
      </c>
      <c r="C149" s="1" t="s">
        <v>521</v>
      </c>
      <c r="D149" s="1" t="s">
        <v>522</v>
      </c>
      <c r="E149" s="1" t="s">
        <v>523</v>
      </c>
      <c r="F149" s="1" t="s">
        <v>72</v>
      </c>
    </row>
    <row r="150" spans="1:6" x14ac:dyDescent="0.25">
      <c r="A150" s="1" t="s">
        <v>331</v>
      </c>
      <c r="B150" s="1" t="s">
        <v>25</v>
      </c>
      <c r="C150" s="1" t="s">
        <v>524</v>
      </c>
      <c r="D150" s="1" t="s">
        <v>525</v>
      </c>
      <c r="E150" s="1" t="s">
        <v>526</v>
      </c>
      <c r="F150" s="1" t="s">
        <v>17</v>
      </c>
    </row>
    <row r="151" spans="1:6" x14ac:dyDescent="0.25">
      <c r="A151" s="1" t="s">
        <v>491</v>
      </c>
      <c r="B151" s="1" t="s">
        <v>25</v>
      </c>
      <c r="C151" s="1" t="s">
        <v>527</v>
      </c>
      <c r="D151" s="1" t="s">
        <v>528</v>
      </c>
      <c r="E151" s="1" t="s">
        <v>529</v>
      </c>
      <c r="F151" s="1" t="s">
        <v>17</v>
      </c>
    </row>
    <row r="152" spans="1:6" x14ac:dyDescent="0.25">
      <c r="A152" s="1" t="s">
        <v>492</v>
      </c>
      <c r="B152" s="1" t="s">
        <v>2</v>
      </c>
      <c r="C152" s="1" t="s">
        <v>530</v>
      </c>
      <c r="D152" s="1" t="s">
        <v>531</v>
      </c>
      <c r="E152" s="1" t="s">
        <v>532</v>
      </c>
      <c r="F152" s="1" t="s">
        <v>33</v>
      </c>
    </row>
    <row r="153" spans="1:6" x14ac:dyDescent="0.25">
      <c r="A153" s="1" t="s">
        <v>436</v>
      </c>
      <c r="B153" s="1" t="s">
        <v>25</v>
      </c>
      <c r="C153" s="1" t="s">
        <v>533</v>
      </c>
      <c r="D153" s="1" t="s">
        <v>534</v>
      </c>
      <c r="E153" s="1" t="s">
        <v>501</v>
      </c>
      <c r="F153" s="1" t="s">
        <v>33</v>
      </c>
    </row>
    <row r="154" spans="1:6" x14ac:dyDescent="0.25">
      <c r="A154" s="1" t="s">
        <v>535</v>
      </c>
      <c r="B154" s="1"/>
      <c r="C154" s="1"/>
      <c r="D154" s="1"/>
      <c r="E154" s="1"/>
      <c r="F154" s="1"/>
    </row>
    <row r="155" spans="1:6" x14ac:dyDescent="0.25">
      <c r="A155" s="1" t="s">
        <v>536</v>
      </c>
      <c r="B155" s="1" t="s">
        <v>13</v>
      </c>
      <c r="C155" s="1" t="s">
        <v>267</v>
      </c>
      <c r="D155" s="1" t="s">
        <v>547</v>
      </c>
      <c r="E155" s="1" t="s">
        <v>548</v>
      </c>
      <c r="F155" s="1" t="s">
        <v>102</v>
      </c>
    </row>
    <row r="156" spans="1:6" x14ac:dyDescent="0.25">
      <c r="A156" s="1" t="s">
        <v>537</v>
      </c>
      <c r="B156" s="1" t="s">
        <v>2</v>
      </c>
      <c r="C156" s="1" t="s">
        <v>549</v>
      </c>
      <c r="D156" s="1" t="s">
        <v>550</v>
      </c>
      <c r="E156" s="1" t="s">
        <v>551</v>
      </c>
      <c r="F156" s="1" t="s">
        <v>23</v>
      </c>
    </row>
    <row r="157" spans="1:6" x14ac:dyDescent="0.25">
      <c r="A157" s="1" t="s">
        <v>80</v>
      </c>
      <c r="B157" s="1" t="s">
        <v>2</v>
      </c>
      <c r="C157" s="1" t="s">
        <v>456</v>
      </c>
      <c r="D157" s="1" t="s">
        <v>552</v>
      </c>
      <c r="E157" s="1" t="s">
        <v>553</v>
      </c>
      <c r="F157" s="1" t="s">
        <v>32</v>
      </c>
    </row>
    <row r="158" spans="1:6" x14ac:dyDescent="0.25">
      <c r="A158" s="1" t="s">
        <v>435</v>
      </c>
      <c r="B158" s="1" t="s">
        <v>2</v>
      </c>
      <c r="C158" s="1" t="s">
        <v>554</v>
      </c>
      <c r="D158" s="1" t="s">
        <v>555</v>
      </c>
      <c r="E158" s="1" t="s">
        <v>556</v>
      </c>
      <c r="F158" s="1" t="s">
        <v>17</v>
      </c>
    </row>
    <row r="159" spans="1:6" x14ac:dyDescent="0.25">
      <c r="A159" s="1" t="s">
        <v>538</v>
      </c>
      <c r="B159" s="1" t="s">
        <v>19</v>
      </c>
      <c r="C159" s="1" t="s">
        <v>557</v>
      </c>
      <c r="D159" s="1" t="s">
        <v>558</v>
      </c>
      <c r="E159" s="1" t="s">
        <v>559</v>
      </c>
      <c r="F159" s="1" t="s">
        <v>32</v>
      </c>
    </row>
    <row r="160" spans="1:6" x14ac:dyDescent="0.25">
      <c r="A160" s="1" t="s">
        <v>436</v>
      </c>
      <c r="B160" s="1" t="s">
        <v>19</v>
      </c>
      <c r="C160" s="1" t="s">
        <v>560</v>
      </c>
      <c r="D160" s="1" t="s">
        <v>561</v>
      </c>
      <c r="E160" s="1" t="s">
        <v>562</v>
      </c>
      <c r="F160" s="1" t="s">
        <v>32</v>
      </c>
    </row>
    <row r="161" spans="1:6" x14ac:dyDescent="0.25">
      <c r="A161" s="1" t="s">
        <v>539</v>
      </c>
      <c r="B161" s="1" t="s">
        <v>19</v>
      </c>
      <c r="C161" s="1" t="s">
        <v>507</v>
      </c>
      <c r="D161" s="1" t="s">
        <v>563</v>
      </c>
      <c r="E161" s="1" t="s">
        <v>564</v>
      </c>
      <c r="F161" s="1" t="s">
        <v>33</v>
      </c>
    </row>
    <row r="162" spans="1:6" x14ac:dyDescent="0.25">
      <c r="A162" s="1" t="s">
        <v>540</v>
      </c>
      <c r="B162" s="1" t="s">
        <v>13</v>
      </c>
      <c r="C162" s="1" t="s">
        <v>565</v>
      </c>
      <c r="D162" s="1" t="s">
        <v>566</v>
      </c>
      <c r="E162" s="1" t="s">
        <v>567</v>
      </c>
      <c r="F162" s="1" t="s">
        <v>33</v>
      </c>
    </row>
    <row r="163" spans="1:6" x14ac:dyDescent="0.25">
      <c r="A163" s="1" t="s">
        <v>541</v>
      </c>
      <c r="B163" s="1" t="s">
        <v>25</v>
      </c>
      <c r="C163" s="1" t="s">
        <v>568</v>
      </c>
      <c r="D163" s="1" t="s">
        <v>569</v>
      </c>
      <c r="E163" s="1" t="s">
        <v>570</v>
      </c>
      <c r="F163" s="1" t="s">
        <v>72</v>
      </c>
    </row>
    <row r="164" spans="1:6" x14ac:dyDescent="0.25">
      <c r="A164" s="1" t="s">
        <v>542</v>
      </c>
      <c r="B164" s="1" t="s">
        <v>25</v>
      </c>
      <c r="C164" s="1" t="s">
        <v>571</v>
      </c>
      <c r="D164" s="1" t="s">
        <v>572</v>
      </c>
      <c r="E164" s="1" t="s">
        <v>573</v>
      </c>
      <c r="F164" s="1" t="s">
        <v>17</v>
      </c>
    </row>
    <row r="165" spans="1:6" x14ac:dyDescent="0.25">
      <c r="A165" s="1" t="s">
        <v>543</v>
      </c>
      <c r="B165" s="1" t="s">
        <v>19</v>
      </c>
      <c r="C165" s="1" t="s">
        <v>574</v>
      </c>
      <c r="D165" s="1" t="s">
        <v>575</v>
      </c>
      <c r="E165" s="1" t="s">
        <v>576</v>
      </c>
      <c r="F165" s="1" t="s">
        <v>32</v>
      </c>
    </row>
    <row r="166" spans="1:6" x14ac:dyDescent="0.25">
      <c r="A166" s="1" t="s">
        <v>544</v>
      </c>
      <c r="B166" s="1" t="s">
        <v>2</v>
      </c>
      <c r="C166" s="1" t="s">
        <v>267</v>
      </c>
      <c r="D166" s="1" t="s">
        <v>577</v>
      </c>
      <c r="E166" s="1" t="s">
        <v>578</v>
      </c>
      <c r="F166" s="1" t="s">
        <v>32</v>
      </c>
    </row>
    <row r="167" spans="1:6" x14ac:dyDescent="0.25">
      <c r="A167" s="1" t="s">
        <v>545</v>
      </c>
      <c r="B167" s="1" t="s">
        <v>2</v>
      </c>
      <c r="C167" s="1" t="s">
        <v>507</v>
      </c>
      <c r="D167" s="1" t="s">
        <v>579</v>
      </c>
      <c r="E167" s="1" t="s">
        <v>580</v>
      </c>
      <c r="F167" s="1" t="s">
        <v>73</v>
      </c>
    </row>
    <row r="168" spans="1:6" x14ac:dyDescent="0.25">
      <c r="A168" s="1" t="s">
        <v>110</v>
      </c>
      <c r="B168" s="1" t="s">
        <v>2</v>
      </c>
      <c r="C168" s="1" t="s">
        <v>581</v>
      </c>
      <c r="D168" s="1" t="s">
        <v>582</v>
      </c>
      <c r="E168" s="1" t="s">
        <v>583</v>
      </c>
      <c r="F168" s="1" t="s">
        <v>23</v>
      </c>
    </row>
    <row r="169" spans="1:6" x14ac:dyDescent="0.25">
      <c r="A169" s="1" t="s">
        <v>546</v>
      </c>
      <c r="B169" s="1" t="s">
        <v>2</v>
      </c>
      <c r="C169" s="1" t="s">
        <v>584</v>
      </c>
      <c r="D169" s="1" t="s">
        <v>585</v>
      </c>
      <c r="E169" s="1" t="s">
        <v>586</v>
      </c>
      <c r="F169" s="1" t="s">
        <v>23</v>
      </c>
    </row>
    <row r="170" spans="1:6" x14ac:dyDescent="0.25">
      <c r="A170" s="1" t="s">
        <v>587</v>
      </c>
      <c r="B170" s="1"/>
      <c r="C170" s="1"/>
      <c r="D170" s="1"/>
      <c r="E170" s="1"/>
      <c r="F170" s="1"/>
    </row>
    <row r="171" spans="1:6" x14ac:dyDescent="0.25">
      <c r="A171" s="1" t="s">
        <v>588</v>
      </c>
      <c r="B171" s="1" t="s">
        <v>2</v>
      </c>
      <c r="C171" s="1" t="s">
        <v>600</v>
      </c>
      <c r="D171" s="1" t="s">
        <v>601</v>
      </c>
      <c r="E171" s="1" t="s">
        <v>602</v>
      </c>
      <c r="F171" s="1" t="s">
        <v>381</v>
      </c>
    </row>
    <row r="172" spans="1:6" x14ac:dyDescent="0.25">
      <c r="A172" s="1" t="s">
        <v>334</v>
      </c>
      <c r="B172" s="1" t="s">
        <v>25</v>
      </c>
      <c r="C172" s="1" t="s">
        <v>603</v>
      </c>
      <c r="D172" s="1" t="s">
        <v>604</v>
      </c>
      <c r="E172" s="1" t="s">
        <v>605</v>
      </c>
      <c r="F172" s="1" t="s">
        <v>325</v>
      </c>
    </row>
    <row r="173" spans="1:6" x14ac:dyDescent="0.25">
      <c r="A173" s="1" t="s">
        <v>589</v>
      </c>
      <c r="B173" s="1" t="s">
        <v>25</v>
      </c>
      <c r="C173" s="1" t="s">
        <v>606</v>
      </c>
      <c r="D173" s="1" t="s">
        <v>607</v>
      </c>
      <c r="E173" s="1" t="s">
        <v>608</v>
      </c>
      <c r="F173" s="1" t="s">
        <v>33</v>
      </c>
    </row>
    <row r="174" spans="1:6" x14ac:dyDescent="0.25">
      <c r="A174" s="1" t="s">
        <v>590</v>
      </c>
      <c r="B174" s="1" t="s">
        <v>2</v>
      </c>
      <c r="C174" s="1" t="s">
        <v>609</v>
      </c>
      <c r="D174" s="1" t="s">
        <v>610</v>
      </c>
      <c r="E174" s="1" t="s">
        <v>611</v>
      </c>
      <c r="F174" s="1" t="s">
        <v>33</v>
      </c>
    </row>
    <row r="175" spans="1:6" x14ac:dyDescent="0.25">
      <c r="A175" s="1" t="s">
        <v>591</v>
      </c>
      <c r="B175" s="1" t="s">
        <v>25</v>
      </c>
      <c r="C175" s="1" t="s">
        <v>612</v>
      </c>
      <c r="D175" s="1" t="s">
        <v>613</v>
      </c>
      <c r="E175" s="1" t="s">
        <v>614</v>
      </c>
      <c r="F175" s="1" t="s">
        <v>23</v>
      </c>
    </row>
    <row r="176" spans="1:6" x14ac:dyDescent="0.25">
      <c r="A176" s="1" t="s">
        <v>592</v>
      </c>
      <c r="B176" s="1" t="s">
        <v>19</v>
      </c>
      <c r="C176" s="1" t="s">
        <v>615</v>
      </c>
      <c r="D176" s="1" t="s">
        <v>616</v>
      </c>
      <c r="E176" s="1" t="s">
        <v>617</v>
      </c>
      <c r="F176" s="1" t="s">
        <v>73</v>
      </c>
    </row>
    <row r="177" spans="1:6" x14ac:dyDescent="0.25">
      <c r="A177" s="1" t="s">
        <v>593</v>
      </c>
      <c r="B177" s="1" t="s">
        <v>13</v>
      </c>
      <c r="C177" s="1" t="s">
        <v>618</v>
      </c>
      <c r="D177" s="1" t="s">
        <v>619</v>
      </c>
      <c r="E177" s="1" t="s">
        <v>620</v>
      </c>
      <c r="F177" s="1" t="s">
        <v>23</v>
      </c>
    </row>
    <row r="178" spans="1:6" x14ac:dyDescent="0.25">
      <c r="A178" s="1" t="s">
        <v>594</v>
      </c>
      <c r="B178" s="1" t="s">
        <v>2</v>
      </c>
      <c r="C178" s="1" t="s">
        <v>621</v>
      </c>
      <c r="D178" s="1" t="s">
        <v>622</v>
      </c>
      <c r="E178" s="1" t="s">
        <v>623</v>
      </c>
      <c r="F178" s="1" t="s">
        <v>32</v>
      </c>
    </row>
    <row r="179" spans="1:6" x14ac:dyDescent="0.25">
      <c r="A179" s="1" t="s">
        <v>595</v>
      </c>
      <c r="B179" s="1" t="s">
        <v>19</v>
      </c>
      <c r="C179" s="1" t="s">
        <v>624</v>
      </c>
      <c r="D179" s="1" t="s">
        <v>625</v>
      </c>
      <c r="E179" s="1" t="s">
        <v>626</v>
      </c>
      <c r="F179" s="1" t="s">
        <v>19</v>
      </c>
    </row>
    <row r="180" spans="1:6" x14ac:dyDescent="0.25">
      <c r="A180" s="1" t="s">
        <v>12</v>
      </c>
      <c r="B180" s="1" t="s">
        <v>25</v>
      </c>
      <c r="C180" s="1" t="s">
        <v>627</v>
      </c>
      <c r="D180" s="1" t="s">
        <v>628</v>
      </c>
      <c r="E180" s="1" t="s">
        <v>629</v>
      </c>
      <c r="F180" s="1" t="s">
        <v>32</v>
      </c>
    </row>
    <row r="181" spans="1:6" x14ac:dyDescent="0.25">
      <c r="A181" s="1" t="s">
        <v>596</v>
      </c>
      <c r="B181" s="1" t="s">
        <v>25</v>
      </c>
      <c r="C181" s="1" t="s">
        <v>630</v>
      </c>
      <c r="D181" s="1" t="s">
        <v>631</v>
      </c>
      <c r="E181" s="1" t="s">
        <v>632</v>
      </c>
      <c r="F181" s="1" t="s">
        <v>72</v>
      </c>
    </row>
    <row r="182" spans="1:6" x14ac:dyDescent="0.25">
      <c r="A182" s="1" t="s">
        <v>167</v>
      </c>
      <c r="B182" s="1" t="s">
        <v>2</v>
      </c>
      <c r="C182" s="1" t="s">
        <v>633</v>
      </c>
      <c r="D182" s="1" t="s">
        <v>634</v>
      </c>
      <c r="E182" s="1" t="s">
        <v>416</v>
      </c>
      <c r="F182" s="1" t="s">
        <v>17</v>
      </c>
    </row>
    <row r="183" spans="1:6" x14ac:dyDescent="0.25">
      <c r="A183" s="1" t="s">
        <v>597</v>
      </c>
      <c r="B183" s="1" t="s">
        <v>2</v>
      </c>
      <c r="C183" s="1" t="s">
        <v>635</v>
      </c>
      <c r="D183" s="1" t="s">
        <v>636</v>
      </c>
      <c r="E183" s="1" t="s">
        <v>637</v>
      </c>
      <c r="F183" s="1" t="s">
        <v>19</v>
      </c>
    </row>
    <row r="184" spans="1:6" x14ac:dyDescent="0.25">
      <c r="A184" s="1" t="s">
        <v>598</v>
      </c>
      <c r="B184" s="1" t="s">
        <v>2</v>
      </c>
      <c r="C184" s="1" t="s">
        <v>638</v>
      </c>
      <c r="D184" s="1" t="s">
        <v>639</v>
      </c>
      <c r="E184" s="1" t="s">
        <v>640</v>
      </c>
      <c r="F184" s="1" t="s">
        <v>17</v>
      </c>
    </row>
    <row r="185" spans="1:6" x14ac:dyDescent="0.25">
      <c r="A185" s="1" t="s">
        <v>599</v>
      </c>
      <c r="B185" s="1" t="s">
        <v>25</v>
      </c>
      <c r="C185" s="1" t="s">
        <v>641</v>
      </c>
      <c r="D185" s="1" t="s">
        <v>642</v>
      </c>
      <c r="E185" s="1" t="s">
        <v>643</v>
      </c>
      <c r="F185" s="1" t="s">
        <v>32</v>
      </c>
    </row>
    <row r="186" spans="1:6" x14ac:dyDescent="0.25">
      <c r="A186" s="1" t="s">
        <v>644</v>
      </c>
      <c r="B186" s="1"/>
      <c r="C186" s="1"/>
      <c r="D186" s="1"/>
      <c r="E186" s="1"/>
      <c r="F186" s="1"/>
    </row>
    <row r="187" spans="1:6" x14ac:dyDescent="0.25">
      <c r="A187" s="1" t="s">
        <v>645</v>
      </c>
      <c r="B187" s="1" t="s">
        <v>25</v>
      </c>
      <c r="C187" s="1" t="s">
        <v>656</v>
      </c>
      <c r="D187" s="1" t="s">
        <v>657</v>
      </c>
      <c r="E187" s="1" t="s">
        <v>658</v>
      </c>
      <c r="F187" s="1" t="s">
        <v>102</v>
      </c>
    </row>
    <row r="188" spans="1:6" x14ac:dyDescent="0.25">
      <c r="A188" s="1" t="s">
        <v>591</v>
      </c>
      <c r="B188" s="1" t="s">
        <v>13</v>
      </c>
      <c r="C188" s="1" t="s">
        <v>659</v>
      </c>
      <c r="D188" s="1" t="s">
        <v>660</v>
      </c>
      <c r="E188" s="1" t="s">
        <v>661</v>
      </c>
      <c r="F188" s="1" t="s">
        <v>23</v>
      </c>
    </row>
    <row r="189" spans="1:6" x14ac:dyDescent="0.25">
      <c r="A189" s="1" t="s">
        <v>646</v>
      </c>
      <c r="B189" s="1" t="s">
        <v>2</v>
      </c>
      <c r="C189" s="1" t="s">
        <v>662</v>
      </c>
      <c r="D189" s="1" t="s">
        <v>663</v>
      </c>
      <c r="E189" s="1" t="s">
        <v>664</v>
      </c>
      <c r="F189" s="1" t="s">
        <v>73</v>
      </c>
    </row>
    <row r="190" spans="1:6" x14ac:dyDescent="0.25">
      <c r="A190" s="1" t="s">
        <v>647</v>
      </c>
      <c r="B190" s="1" t="s">
        <v>13</v>
      </c>
      <c r="C190" s="1" t="s">
        <v>665</v>
      </c>
      <c r="D190" s="1" t="s">
        <v>666</v>
      </c>
      <c r="E190" s="1" t="s">
        <v>667</v>
      </c>
      <c r="F190" s="1" t="s">
        <v>73</v>
      </c>
    </row>
    <row r="191" spans="1:6" x14ac:dyDescent="0.25">
      <c r="A191" s="1" t="s">
        <v>648</v>
      </c>
      <c r="B191" s="1" t="s">
        <v>2</v>
      </c>
      <c r="C191" s="1" t="s">
        <v>668</v>
      </c>
      <c r="D191" s="1" t="s">
        <v>669</v>
      </c>
      <c r="E191" s="1" t="s">
        <v>670</v>
      </c>
      <c r="F191" s="1" t="s">
        <v>32</v>
      </c>
    </row>
    <row r="192" spans="1:6" x14ac:dyDescent="0.25">
      <c r="A192" s="1" t="s">
        <v>649</v>
      </c>
      <c r="B192" s="1" t="s">
        <v>25</v>
      </c>
      <c r="C192" s="1" t="s">
        <v>671</v>
      </c>
      <c r="D192" s="1" t="s">
        <v>672</v>
      </c>
      <c r="E192" s="1" t="s">
        <v>673</v>
      </c>
      <c r="F192" s="1" t="s">
        <v>33</v>
      </c>
    </row>
    <row r="193" spans="1:6" x14ac:dyDescent="0.25">
      <c r="A193" s="1" t="s">
        <v>650</v>
      </c>
      <c r="B193" s="1" t="s">
        <v>19</v>
      </c>
      <c r="C193" s="1" t="s">
        <v>674</v>
      </c>
      <c r="D193" s="1" t="s">
        <v>675</v>
      </c>
      <c r="E193" s="1" t="s">
        <v>676</v>
      </c>
      <c r="F193" s="1" t="s">
        <v>33</v>
      </c>
    </row>
    <row r="194" spans="1:6" x14ac:dyDescent="0.25">
      <c r="A194" s="1" t="s">
        <v>438</v>
      </c>
      <c r="B194" s="1" t="s">
        <v>2</v>
      </c>
      <c r="C194" s="1" t="s">
        <v>677</v>
      </c>
      <c r="D194" s="1" t="s">
        <v>678</v>
      </c>
      <c r="E194" s="1" t="s">
        <v>679</v>
      </c>
      <c r="F194" s="1" t="s">
        <v>33</v>
      </c>
    </row>
    <row r="195" spans="1:6" x14ac:dyDescent="0.25">
      <c r="A195" s="1" t="s">
        <v>651</v>
      </c>
      <c r="B195" s="1" t="s">
        <v>25</v>
      </c>
      <c r="C195" s="1" t="s">
        <v>680</v>
      </c>
      <c r="D195" s="1" t="s">
        <v>681</v>
      </c>
      <c r="E195" s="1" t="s">
        <v>506</v>
      </c>
      <c r="F195" s="1" t="s">
        <v>23</v>
      </c>
    </row>
    <row r="196" spans="1:6" x14ac:dyDescent="0.25">
      <c r="A196" s="1" t="s">
        <v>652</v>
      </c>
      <c r="B196" s="1" t="s">
        <v>25</v>
      </c>
      <c r="C196" s="1" t="s">
        <v>682</v>
      </c>
      <c r="D196" s="1" t="s">
        <v>683</v>
      </c>
      <c r="E196" s="1" t="s">
        <v>684</v>
      </c>
      <c r="F196" s="1" t="s">
        <v>72</v>
      </c>
    </row>
    <row r="197" spans="1:6" x14ac:dyDescent="0.25">
      <c r="A197" s="1" t="s">
        <v>653</v>
      </c>
      <c r="B197" s="1" t="s">
        <v>2</v>
      </c>
      <c r="C197" s="1" t="s">
        <v>685</v>
      </c>
      <c r="D197" s="1" t="s">
        <v>686</v>
      </c>
      <c r="E197" s="1" t="s">
        <v>687</v>
      </c>
      <c r="F197" s="1" t="s">
        <v>73</v>
      </c>
    </row>
    <row r="198" spans="1:6" x14ac:dyDescent="0.25">
      <c r="A198" s="1" t="s">
        <v>654</v>
      </c>
      <c r="B198" s="1" t="s">
        <v>13</v>
      </c>
      <c r="C198" s="1" t="s">
        <v>688</v>
      </c>
      <c r="D198" s="1" t="s">
        <v>689</v>
      </c>
      <c r="E198" s="1" t="s">
        <v>690</v>
      </c>
      <c r="F198" s="1" t="s">
        <v>33</v>
      </c>
    </row>
    <row r="199" spans="1:6" x14ac:dyDescent="0.25">
      <c r="A199" s="1" t="s">
        <v>440</v>
      </c>
      <c r="B199" s="1" t="s">
        <v>13</v>
      </c>
      <c r="C199" s="1" t="s">
        <v>691</v>
      </c>
      <c r="D199" s="1" t="s">
        <v>692</v>
      </c>
      <c r="E199" s="1" t="s">
        <v>693</v>
      </c>
      <c r="F199" s="1" t="s">
        <v>32</v>
      </c>
    </row>
    <row r="200" spans="1:6" x14ac:dyDescent="0.25">
      <c r="A200" s="1" t="s">
        <v>655</v>
      </c>
      <c r="B200" s="1" t="s">
        <v>19</v>
      </c>
      <c r="C200" s="1" t="s">
        <v>694</v>
      </c>
      <c r="D200" s="1" t="s">
        <v>695</v>
      </c>
      <c r="E200" s="1" t="s">
        <v>696</v>
      </c>
      <c r="F200" s="1" t="s">
        <v>32</v>
      </c>
    </row>
    <row r="201" spans="1:6" x14ac:dyDescent="0.25">
      <c r="A201" s="1" t="s">
        <v>385</v>
      </c>
      <c r="B201" s="1" t="s">
        <v>19</v>
      </c>
      <c r="C201" s="1" t="s">
        <v>697</v>
      </c>
      <c r="D201" s="1" t="s">
        <v>698</v>
      </c>
      <c r="E201" s="1" t="s">
        <v>699</v>
      </c>
      <c r="F201" s="1" t="s">
        <v>32</v>
      </c>
    </row>
    <row r="202" spans="1:6" x14ac:dyDescent="0.25">
      <c r="A202" s="1" t="s">
        <v>700</v>
      </c>
      <c r="B202" s="1"/>
      <c r="C202" s="1"/>
      <c r="D202" s="1"/>
      <c r="E202" s="1"/>
      <c r="F202" s="1"/>
    </row>
    <row r="203" spans="1:6" x14ac:dyDescent="0.25">
      <c r="A203" s="1" t="s">
        <v>701</v>
      </c>
      <c r="B203" s="1" t="s">
        <v>13</v>
      </c>
      <c r="C203" s="1" t="s">
        <v>711</v>
      </c>
      <c r="D203" s="1" t="s">
        <v>712</v>
      </c>
      <c r="E203" s="1" t="s">
        <v>713</v>
      </c>
      <c r="F203" s="1" t="s">
        <v>381</v>
      </c>
    </row>
    <row r="204" spans="1:6" x14ac:dyDescent="0.25">
      <c r="A204" s="1" t="s">
        <v>648</v>
      </c>
      <c r="B204" s="1" t="s">
        <v>13</v>
      </c>
      <c r="C204" s="1" t="s">
        <v>714</v>
      </c>
      <c r="D204" s="1" t="s">
        <v>715</v>
      </c>
      <c r="E204" s="1" t="s">
        <v>716</v>
      </c>
      <c r="F204" s="1" t="s">
        <v>73</v>
      </c>
    </row>
    <row r="205" spans="1:6" x14ac:dyDescent="0.25">
      <c r="A205" s="1" t="s">
        <v>226</v>
      </c>
      <c r="B205" s="1" t="s">
        <v>19</v>
      </c>
      <c r="C205" s="1" t="s">
        <v>612</v>
      </c>
      <c r="D205" s="1" t="s">
        <v>717</v>
      </c>
      <c r="E205" s="1" t="s">
        <v>718</v>
      </c>
      <c r="F205" s="1" t="s">
        <v>17</v>
      </c>
    </row>
    <row r="206" spans="1:6" x14ac:dyDescent="0.25">
      <c r="A206" s="1" t="s">
        <v>26</v>
      </c>
      <c r="B206" s="1" t="s">
        <v>2</v>
      </c>
      <c r="C206" s="1" t="s">
        <v>719</v>
      </c>
      <c r="D206" s="1" t="s">
        <v>720</v>
      </c>
      <c r="E206" s="1" t="s">
        <v>721</v>
      </c>
      <c r="F206" s="1" t="s">
        <v>17</v>
      </c>
    </row>
    <row r="207" spans="1:6" x14ac:dyDescent="0.25">
      <c r="A207" s="1" t="s">
        <v>334</v>
      </c>
      <c r="B207" s="1" t="s">
        <v>25</v>
      </c>
      <c r="C207" s="1" t="s">
        <v>451</v>
      </c>
      <c r="D207" s="1" t="s">
        <v>722</v>
      </c>
      <c r="E207" s="1" t="s">
        <v>309</v>
      </c>
      <c r="F207" s="1" t="s">
        <v>17</v>
      </c>
    </row>
    <row r="208" spans="1:6" x14ac:dyDescent="0.25">
      <c r="A208" s="1" t="s">
        <v>702</v>
      </c>
      <c r="B208" s="1" t="s">
        <v>25</v>
      </c>
      <c r="C208" s="1" t="s">
        <v>723</v>
      </c>
      <c r="D208" s="1" t="s">
        <v>724</v>
      </c>
      <c r="E208" s="1" t="s">
        <v>725</v>
      </c>
      <c r="F208" s="1" t="s">
        <v>33</v>
      </c>
    </row>
    <row r="209" spans="1:6" x14ac:dyDescent="0.25">
      <c r="A209" s="1" t="s">
        <v>703</v>
      </c>
      <c r="B209" s="1" t="s">
        <v>2</v>
      </c>
      <c r="C209" s="1" t="s">
        <v>726</v>
      </c>
      <c r="D209" s="1" t="s">
        <v>727</v>
      </c>
      <c r="E209" s="1" t="s">
        <v>728</v>
      </c>
      <c r="F209" s="1" t="s">
        <v>17</v>
      </c>
    </row>
    <row r="210" spans="1:6" x14ac:dyDescent="0.25">
      <c r="A210" s="1" t="s">
        <v>704</v>
      </c>
      <c r="B210" s="1" t="s">
        <v>13</v>
      </c>
      <c r="C210" s="1" t="s">
        <v>729</v>
      </c>
      <c r="D210" s="1" t="s">
        <v>730</v>
      </c>
      <c r="E210" s="1" t="s">
        <v>731</v>
      </c>
      <c r="F210" s="1" t="s">
        <v>32</v>
      </c>
    </row>
    <row r="211" spans="1:6" x14ac:dyDescent="0.25">
      <c r="A211" s="1" t="s">
        <v>705</v>
      </c>
      <c r="B211" s="1" t="s">
        <v>2</v>
      </c>
      <c r="C211" s="1" t="s">
        <v>732</v>
      </c>
      <c r="D211" s="1" t="s">
        <v>733</v>
      </c>
      <c r="E211" s="1" t="s">
        <v>734</v>
      </c>
      <c r="F211" s="1" t="s">
        <v>17</v>
      </c>
    </row>
    <row r="212" spans="1:6" x14ac:dyDescent="0.25">
      <c r="A212" s="1" t="s">
        <v>706</v>
      </c>
      <c r="B212" s="1" t="s">
        <v>19</v>
      </c>
      <c r="C212" s="1" t="s">
        <v>735</v>
      </c>
      <c r="D212" s="1" t="s">
        <v>736</v>
      </c>
      <c r="E212" s="1" t="s">
        <v>737</v>
      </c>
      <c r="F212" s="1" t="s">
        <v>32</v>
      </c>
    </row>
    <row r="213" spans="1:6" x14ac:dyDescent="0.25">
      <c r="A213" s="1" t="s">
        <v>707</v>
      </c>
      <c r="B213" s="1" t="s">
        <v>2</v>
      </c>
      <c r="C213" s="1" t="s">
        <v>738</v>
      </c>
      <c r="D213" s="1" t="s">
        <v>739</v>
      </c>
      <c r="E213" s="1" t="s">
        <v>740</v>
      </c>
      <c r="F213" s="1" t="s">
        <v>32</v>
      </c>
    </row>
    <row r="214" spans="1:6" x14ac:dyDescent="0.25">
      <c r="A214" s="1" t="s">
        <v>708</v>
      </c>
      <c r="B214" s="1" t="s">
        <v>2</v>
      </c>
      <c r="C214" s="1" t="s">
        <v>741</v>
      </c>
      <c r="D214" s="1" t="s">
        <v>742</v>
      </c>
      <c r="E214" s="1" t="s">
        <v>743</v>
      </c>
      <c r="F214" s="1" t="s">
        <v>23</v>
      </c>
    </row>
    <row r="215" spans="1:6" x14ac:dyDescent="0.25">
      <c r="A215" s="1" t="s">
        <v>709</v>
      </c>
      <c r="B215" s="1" t="s">
        <v>2</v>
      </c>
      <c r="C215" s="1" t="s">
        <v>123</v>
      </c>
      <c r="D215" s="1" t="s">
        <v>744</v>
      </c>
      <c r="E215" s="1" t="s">
        <v>745</v>
      </c>
      <c r="F215" s="1" t="s">
        <v>23</v>
      </c>
    </row>
    <row r="216" spans="1:6" x14ac:dyDescent="0.25">
      <c r="A216" s="1" t="s">
        <v>710</v>
      </c>
      <c r="B216" s="1" t="s">
        <v>2</v>
      </c>
      <c r="C216" s="1" t="s">
        <v>746</v>
      </c>
      <c r="D216" s="1" t="s">
        <v>747</v>
      </c>
      <c r="E216" s="1" t="s">
        <v>748</v>
      </c>
      <c r="F216" s="1" t="s">
        <v>33</v>
      </c>
    </row>
    <row r="217" spans="1:6" x14ac:dyDescent="0.25">
      <c r="A217" s="1" t="s">
        <v>49</v>
      </c>
      <c r="B217" s="1" t="s">
        <v>19</v>
      </c>
      <c r="C217" s="1" t="s">
        <v>426</v>
      </c>
      <c r="D217" s="1" t="s">
        <v>749</v>
      </c>
      <c r="E217" s="1" t="s">
        <v>750</v>
      </c>
      <c r="F217" s="1" t="s">
        <v>33</v>
      </c>
    </row>
    <row r="218" spans="1:6" x14ac:dyDescent="0.25">
      <c r="A218" s="1" t="s">
        <v>751</v>
      </c>
      <c r="B218" s="1"/>
      <c r="C218" s="1"/>
      <c r="D218" s="1"/>
      <c r="E218" s="1"/>
      <c r="F218" s="1"/>
    </row>
    <row r="219" spans="1:6" x14ac:dyDescent="0.25">
      <c r="A219" s="1" t="s">
        <v>752</v>
      </c>
      <c r="B219" s="1" t="s">
        <v>25</v>
      </c>
      <c r="C219" s="1" t="s">
        <v>761</v>
      </c>
      <c r="D219" s="1" t="s">
        <v>762</v>
      </c>
      <c r="E219" s="1" t="s">
        <v>763</v>
      </c>
      <c r="F219" s="1" t="s">
        <v>102</v>
      </c>
    </row>
    <row r="220" spans="1:6" x14ac:dyDescent="0.25">
      <c r="A220" s="1" t="s">
        <v>648</v>
      </c>
      <c r="B220" s="1" t="s">
        <v>2</v>
      </c>
      <c r="C220" s="1" t="s">
        <v>227</v>
      </c>
      <c r="D220" s="1" t="s">
        <v>764</v>
      </c>
      <c r="E220" s="1" t="s">
        <v>765</v>
      </c>
      <c r="F220" s="1" t="s">
        <v>17</v>
      </c>
    </row>
    <row r="221" spans="1:6" x14ac:dyDescent="0.25">
      <c r="A221" s="1" t="s">
        <v>753</v>
      </c>
      <c r="B221" s="1" t="s">
        <v>2</v>
      </c>
      <c r="C221" s="1" t="s">
        <v>766</v>
      </c>
      <c r="D221" s="1" t="s">
        <v>767</v>
      </c>
      <c r="E221" s="1" t="s">
        <v>768</v>
      </c>
      <c r="F221" s="1" t="s">
        <v>432</v>
      </c>
    </row>
    <row r="222" spans="1:6" x14ac:dyDescent="0.25">
      <c r="A222" s="1" t="s">
        <v>754</v>
      </c>
      <c r="B222" s="1" t="s">
        <v>2</v>
      </c>
      <c r="C222" s="1" t="s">
        <v>769</v>
      </c>
      <c r="D222" s="1" t="s">
        <v>770</v>
      </c>
      <c r="E222" s="1" t="s">
        <v>771</v>
      </c>
      <c r="F222" s="1" t="s">
        <v>33</v>
      </c>
    </row>
    <row r="223" spans="1:6" x14ac:dyDescent="0.25">
      <c r="A223" s="1" t="s">
        <v>755</v>
      </c>
      <c r="B223" s="1" t="s">
        <v>25</v>
      </c>
      <c r="C223" s="1" t="s">
        <v>290</v>
      </c>
      <c r="D223" s="1" t="s">
        <v>772</v>
      </c>
      <c r="E223" s="1" t="s">
        <v>773</v>
      </c>
      <c r="F223" s="1" t="s">
        <v>432</v>
      </c>
    </row>
    <row r="224" spans="1:6" x14ac:dyDescent="0.25">
      <c r="A224" s="1" t="s">
        <v>756</v>
      </c>
      <c r="B224" s="1" t="s">
        <v>2</v>
      </c>
      <c r="C224" s="1" t="s">
        <v>774</v>
      </c>
      <c r="D224" s="1" t="s">
        <v>775</v>
      </c>
      <c r="E224" s="1" t="s">
        <v>776</v>
      </c>
      <c r="F224" s="1" t="s">
        <v>17</v>
      </c>
    </row>
    <row r="225" spans="1:6" x14ac:dyDescent="0.25">
      <c r="A225" s="1" t="s">
        <v>45</v>
      </c>
      <c r="B225" s="1" t="s">
        <v>25</v>
      </c>
      <c r="C225" s="1" t="s">
        <v>761</v>
      </c>
      <c r="D225" s="1" t="s">
        <v>777</v>
      </c>
      <c r="E225" s="1" t="s">
        <v>778</v>
      </c>
      <c r="F225" s="1" t="s">
        <v>17</v>
      </c>
    </row>
    <row r="226" spans="1:6" x14ac:dyDescent="0.25">
      <c r="A226" s="1" t="s">
        <v>757</v>
      </c>
      <c r="B226" s="1" t="s">
        <v>13</v>
      </c>
      <c r="C226" s="1" t="s">
        <v>191</v>
      </c>
      <c r="D226" s="1" t="s">
        <v>779</v>
      </c>
      <c r="E226" s="1" t="s">
        <v>780</v>
      </c>
      <c r="F226" s="1" t="s">
        <v>17</v>
      </c>
    </row>
    <row r="227" spans="1:6" x14ac:dyDescent="0.25">
      <c r="A227" s="1" t="s">
        <v>705</v>
      </c>
      <c r="B227" s="1" t="s">
        <v>13</v>
      </c>
      <c r="C227" s="1" t="s">
        <v>781</v>
      </c>
      <c r="D227" s="1" t="s">
        <v>5</v>
      </c>
      <c r="E227" s="1" t="s">
        <v>782</v>
      </c>
      <c r="F227" s="1" t="s">
        <v>17</v>
      </c>
    </row>
    <row r="228" spans="1:6" x14ac:dyDescent="0.25">
      <c r="A228" s="1" t="s">
        <v>758</v>
      </c>
      <c r="B228" s="1" t="s">
        <v>19</v>
      </c>
      <c r="C228" s="1" t="s">
        <v>301</v>
      </c>
      <c r="D228" s="1" t="s">
        <v>783</v>
      </c>
      <c r="E228" s="1" t="s">
        <v>784</v>
      </c>
      <c r="F228" s="1" t="s">
        <v>19</v>
      </c>
    </row>
    <row r="229" spans="1:6" x14ac:dyDescent="0.25">
      <c r="A229" s="1" t="s">
        <v>276</v>
      </c>
      <c r="B229" s="1" t="s">
        <v>25</v>
      </c>
      <c r="C229" s="1" t="s">
        <v>191</v>
      </c>
      <c r="D229" s="1" t="s">
        <v>785</v>
      </c>
      <c r="E229" s="1" t="s">
        <v>786</v>
      </c>
      <c r="F229" s="1" t="s">
        <v>33</v>
      </c>
    </row>
    <row r="230" spans="1:6" x14ac:dyDescent="0.25">
      <c r="A230" s="1" t="s">
        <v>759</v>
      </c>
      <c r="B230" s="1" t="s">
        <v>13</v>
      </c>
      <c r="C230" s="1" t="s">
        <v>787</v>
      </c>
      <c r="D230" s="1" t="s">
        <v>788</v>
      </c>
      <c r="E230" s="1" t="s">
        <v>789</v>
      </c>
      <c r="F230" s="1" t="s">
        <v>17</v>
      </c>
    </row>
    <row r="231" spans="1:6" x14ac:dyDescent="0.25">
      <c r="A231" s="1" t="s">
        <v>593</v>
      </c>
      <c r="B231" s="1" t="s">
        <v>13</v>
      </c>
      <c r="C231" s="1" t="s">
        <v>790</v>
      </c>
      <c r="D231" s="1" t="s">
        <v>791</v>
      </c>
      <c r="E231" s="1" t="s">
        <v>792</v>
      </c>
      <c r="F231" s="1" t="s">
        <v>32</v>
      </c>
    </row>
    <row r="232" spans="1:6" x14ac:dyDescent="0.25">
      <c r="A232" s="1" t="s">
        <v>760</v>
      </c>
      <c r="B232" s="1" t="s">
        <v>2</v>
      </c>
      <c r="C232" s="1" t="s">
        <v>793</v>
      </c>
      <c r="D232" s="1" t="s">
        <v>794</v>
      </c>
      <c r="E232" s="1" t="s">
        <v>795</v>
      </c>
      <c r="F232" s="1" t="s">
        <v>23</v>
      </c>
    </row>
    <row r="233" spans="1:6" x14ac:dyDescent="0.25">
      <c r="A233" s="1" t="s">
        <v>110</v>
      </c>
      <c r="B233" s="1" t="s">
        <v>13</v>
      </c>
      <c r="C233" s="1" t="s">
        <v>796</v>
      </c>
      <c r="D233" s="1" t="s">
        <v>797</v>
      </c>
      <c r="E233" s="1" t="s">
        <v>798</v>
      </c>
      <c r="F233" s="1" t="s">
        <v>19</v>
      </c>
    </row>
    <row r="234" spans="1:6" x14ac:dyDescent="0.25">
      <c r="A234" s="1" t="s">
        <v>799</v>
      </c>
      <c r="B234" s="1"/>
      <c r="C234" s="1"/>
      <c r="D234" s="1"/>
      <c r="E234" s="1"/>
      <c r="F234" s="1"/>
    </row>
    <row r="235" spans="1:6" x14ac:dyDescent="0.25">
      <c r="A235" s="1" t="s">
        <v>800</v>
      </c>
      <c r="B235" s="1" t="s">
        <v>2</v>
      </c>
      <c r="C235" s="1" t="s">
        <v>87</v>
      </c>
      <c r="D235" s="1" t="s">
        <v>814</v>
      </c>
      <c r="E235" s="1" t="s">
        <v>815</v>
      </c>
      <c r="F235" s="1" t="s">
        <v>102</v>
      </c>
    </row>
    <row r="236" spans="1:6" x14ac:dyDescent="0.25">
      <c r="A236" s="1" t="s">
        <v>485</v>
      </c>
      <c r="B236" s="1" t="s">
        <v>19</v>
      </c>
      <c r="C236" s="1" t="s">
        <v>816</v>
      </c>
      <c r="D236" s="1" t="s">
        <v>817</v>
      </c>
      <c r="E236" s="1" t="s">
        <v>818</v>
      </c>
      <c r="F236" s="1" t="s">
        <v>23</v>
      </c>
    </row>
    <row r="237" spans="1:6" x14ac:dyDescent="0.25">
      <c r="A237" s="1" t="s">
        <v>801</v>
      </c>
      <c r="B237" s="1" t="s">
        <v>25</v>
      </c>
      <c r="C237" s="1" t="s">
        <v>99</v>
      </c>
      <c r="D237" s="1" t="s">
        <v>819</v>
      </c>
      <c r="E237" s="1" t="s">
        <v>820</v>
      </c>
      <c r="F237" s="1" t="s">
        <v>19</v>
      </c>
    </row>
    <row r="238" spans="1:6" x14ac:dyDescent="0.25">
      <c r="A238" s="1" t="s">
        <v>802</v>
      </c>
      <c r="B238" s="1" t="s">
        <v>2</v>
      </c>
      <c r="C238" s="1" t="s">
        <v>821</v>
      </c>
      <c r="D238" s="1" t="s">
        <v>822</v>
      </c>
      <c r="E238" s="1" t="s">
        <v>823</v>
      </c>
      <c r="F238" s="1" t="s">
        <v>32</v>
      </c>
    </row>
    <row r="239" spans="1:6" x14ac:dyDescent="0.25">
      <c r="A239" s="1" t="s">
        <v>803</v>
      </c>
      <c r="B239" s="1" t="s">
        <v>2</v>
      </c>
      <c r="C239" s="1" t="s">
        <v>824</v>
      </c>
      <c r="D239" s="1" t="s">
        <v>825</v>
      </c>
      <c r="E239" s="1" t="s">
        <v>826</v>
      </c>
      <c r="F239" s="1" t="s">
        <v>32</v>
      </c>
    </row>
    <row r="240" spans="1:6" x14ac:dyDescent="0.25">
      <c r="A240" s="1" t="s">
        <v>804</v>
      </c>
      <c r="B240" s="1" t="s">
        <v>2</v>
      </c>
      <c r="C240" s="1" t="s">
        <v>827</v>
      </c>
      <c r="D240" s="1" t="s">
        <v>828</v>
      </c>
      <c r="E240" s="1" t="s">
        <v>829</v>
      </c>
      <c r="F240" s="1" t="s">
        <v>33</v>
      </c>
    </row>
    <row r="241" spans="1:6" x14ac:dyDescent="0.25">
      <c r="A241" s="1" t="s">
        <v>805</v>
      </c>
      <c r="B241" s="1" t="s">
        <v>13</v>
      </c>
      <c r="C241" s="1" t="s">
        <v>123</v>
      </c>
      <c r="D241" s="1" t="s">
        <v>830</v>
      </c>
      <c r="E241" s="1" t="s">
        <v>831</v>
      </c>
      <c r="F241" s="1" t="s">
        <v>17</v>
      </c>
    </row>
    <row r="242" spans="1:6" x14ac:dyDescent="0.25">
      <c r="A242" s="1" t="s">
        <v>806</v>
      </c>
      <c r="B242" s="1" t="s">
        <v>2</v>
      </c>
      <c r="C242" s="1" t="s">
        <v>832</v>
      </c>
      <c r="D242" s="1" t="s">
        <v>833</v>
      </c>
      <c r="E242" s="1" t="s">
        <v>834</v>
      </c>
      <c r="F242" s="1" t="s">
        <v>19</v>
      </c>
    </row>
    <row r="243" spans="1:6" x14ac:dyDescent="0.25">
      <c r="A243" s="1" t="s">
        <v>807</v>
      </c>
      <c r="B243" s="1" t="s">
        <v>2</v>
      </c>
      <c r="C243" s="1" t="s">
        <v>401</v>
      </c>
      <c r="D243" s="1" t="s">
        <v>835</v>
      </c>
      <c r="E243" s="1" t="s">
        <v>836</v>
      </c>
      <c r="F243" s="1" t="s">
        <v>32</v>
      </c>
    </row>
    <row r="244" spans="1:6" x14ac:dyDescent="0.25">
      <c r="A244" s="1" t="s">
        <v>808</v>
      </c>
      <c r="B244" s="1" t="s">
        <v>19</v>
      </c>
      <c r="C244" s="1" t="s">
        <v>415</v>
      </c>
      <c r="D244" s="1" t="s">
        <v>837</v>
      </c>
      <c r="E244" s="1" t="s">
        <v>838</v>
      </c>
      <c r="F244" s="1" t="s">
        <v>17</v>
      </c>
    </row>
    <row r="245" spans="1:6" x14ac:dyDescent="0.25">
      <c r="A245" s="1" t="s">
        <v>809</v>
      </c>
      <c r="B245" s="1" t="s">
        <v>19</v>
      </c>
      <c r="C245" s="1" t="s">
        <v>839</v>
      </c>
      <c r="D245" s="1" t="s">
        <v>840</v>
      </c>
      <c r="E245" s="1" t="s">
        <v>841</v>
      </c>
      <c r="F245" s="1" t="s">
        <v>325</v>
      </c>
    </row>
    <row r="246" spans="1:6" x14ac:dyDescent="0.25">
      <c r="A246" s="1" t="s">
        <v>810</v>
      </c>
      <c r="B246" s="1" t="s">
        <v>19</v>
      </c>
      <c r="C246" s="3" t="s">
        <v>842</v>
      </c>
      <c r="D246" s="3" t="s">
        <v>843</v>
      </c>
      <c r="E246" s="3" t="s">
        <v>844</v>
      </c>
      <c r="F246" s="1" t="s">
        <v>32</v>
      </c>
    </row>
    <row r="247" spans="1:6" x14ac:dyDescent="0.25">
      <c r="A247" s="1" t="s">
        <v>811</v>
      </c>
      <c r="B247" s="1" t="s">
        <v>25</v>
      </c>
      <c r="C247" s="1" t="s">
        <v>96</v>
      </c>
      <c r="D247" s="1" t="s">
        <v>845</v>
      </c>
      <c r="E247" s="1" t="s">
        <v>846</v>
      </c>
      <c r="F247" s="1" t="s">
        <v>32</v>
      </c>
    </row>
    <row r="248" spans="1:6" x14ac:dyDescent="0.25">
      <c r="A248" s="1" t="s">
        <v>812</v>
      </c>
      <c r="B248" s="1" t="s">
        <v>13</v>
      </c>
      <c r="C248" s="1" t="s">
        <v>117</v>
      </c>
      <c r="D248" s="1" t="s">
        <v>847</v>
      </c>
      <c r="E248" s="1" t="s">
        <v>848</v>
      </c>
      <c r="F248" s="1" t="s">
        <v>17</v>
      </c>
    </row>
    <row r="249" spans="1:6" x14ac:dyDescent="0.25">
      <c r="A249" s="1" t="s">
        <v>813</v>
      </c>
      <c r="B249" s="1" t="s">
        <v>25</v>
      </c>
      <c r="C249" s="1" t="s">
        <v>849</v>
      </c>
      <c r="D249" s="1" t="s">
        <v>850</v>
      </c>
      <c r="E249" s="1" t="s">
        <v>851</v>
      </c>
      <c r="F249" s="1" t="s">
        <v>19</v>
      </c>
    </row>
    <row r="250" spans="1:6" x14ac:dyDescent="0.25">
      <c r="A250" s="1" t="s">
        <v>852</v>
      </c>
      <c r="B250" s="1"/>
      <c r="C250" s="1"/>
      <c r="D250" s="1"/>
      <c r="E250" s="1"/>
      <c r="F250" s="1"/>
    </row>
    <row r="251" spans="1:6" x14ac:dyDescent="0.25">
      <c r="A251" s="1" t="s">
        <v>853</v>
      </c>
      <c r="B251" s="1" t="s">
        <v>13</v>
      </c>
      <c r="C251" s="1" t="s">
        <v>862</v>
      </c>
      <c r="D251" s="1" t="s">
        <v>863</v>
      </c>
      <c r="E251" s="1" t="s">
        <v>864</v>
      </c>
      <c r="F251" s="1" t="s">
        <v>10</v>
      </c>
    </row>
    <row r="252" spans="1:6" x14ac:dyDescent="0.25">
      <c r="A252" s="1" t="s">
        <v>854</v>
      </c>
      <c r="B252" s="1" t="s">
        <v>2</v>
      </c>
      <c r="C252" s="1" t="s">
        <v>448</v>
      </c>
      <c r="D252" s="1" t="s">
        <v>865</v>
      </c>
      <c r="E252" s="1" t="s">
        <v>866</v>
      </c>
      <c r="F252" s="1" t="s">
        <v>73</v>
      </c>
    </row>
    <row r="253" spans="1:6" x14ac:dyDescent="0.25">
      <c r="A253" s="1" t="s">
        <v>855</v>
      </c>
      <c r="B253" s="1" t="s">
        <v>13</v>
      </c>
      <c r="C253" s="1" t="s">
        <v>867</v>
      </c>
      <c r="D253" s="1" t="s">
        <v>868</v>
      </c>
      <c r="E253" s="1" t="s">
        <v>869</v>
      </c>
      <c r="F253" s="1" t="s">
        <v>72</v>
      </c>
    </row>
    <row r="254" spans="1:6" x14ac:dyDescent="0.25">
      <c r="A254" s="1" t="s">
        <v>485</v>
      </c>
      <c r="B254" s="1" t="s">
        <v>19</v>
      </c>
      <c r="C254" s="1" t="s">
        <v>633</v>
      </c>
      <c r="D254" s="1" t="s">
        <v>870</v>
      </c>
      <c r="E254" s="1" t="s">
        <v>871</v>
      </c>
      <c r="F254" s="1" t="s">
        <v>72</v>
      </c>
    </row>
    <row r="255" spans="1:6" x14ac:dyDescent="0.25">
      <c r="A255" s="1" t="s">
        <v>856</v>
      </c>
      <c r="B255" s="1" t="s">
        <v>13</v>
      </c>
      <c r="C255" s="1" t="s">
        <v>872</v>
      </c>
      <c r="D255" s="1" t="s">
        <v>873</v>
      </c>
      <c r="E255" s="1" t="s">
        <v>874</v>
      </c>
      <c r="F255" s="1" t="s">
        <v>32</v>
      </c>
    </row>
    <row r="256" spans="1:6" x14ac:dyDescent="0.25">
      <c r="A256" s="1" t="s">
        <v>857</v>
      </c>
      <c r="B256" s="1" t="s">
        <v>25</v>
      </c>
      <c r="C256" s="1" t="s">
        <v>875</v>
      </c>
      <c r="D256" s="1" t="s">
        <v>876</v>
      </c>
      <c r="E256" s="1" t="s">
        <v>877</v>
      </c>
      <c r="F256" s="1" t="s">
        <v>32</v>
      </c>
    </row>
    <row r="257" spans="1:6" x14ac:dyDescent="0.25">
      <c r="A257" s="1" t="s">
        <v>646</v>
      </c>
      <c r="B257" s="1" t="s">
        <v>2</v>
      </c>
      <c r="C257" s="1" t="s">
        <v>878</v>
      </c>
      <c r="D257" s="1" t="s">
        <v>879</v>
      </c>
      <c r="E257" s="1" t="s">
        <v>880</v>
      </c>
      <c r="F257" s="1" t="s">
        <v>17</v>
      </c>
    </row>
    <row r="258" spans="1:6" x14ac:dyDescent="0.25">
      <c r="A258" s="1" t="s">
        <v>858</v>
      </c>
      <c r="B258" s="1" t="s">
        <v>2</v>
      </c>
      <c r="C258" s="1" t="s">
        <v>881</v>
      </c>
      <c r="D258" s="1" t="s">
        <v>882</v>
      </c>
      <c r="E258" s="1" t="s">
        <v>883</v>
      </c>
      <c r="F258" s="1" t="s">
        <v>32</v>
      </c>
    </row>
    <row r="259" spans="1:6" x14ac:dyDescent="0.25">
      <c r="A259" s="1" t="s">
        <v>384</v>
      </c>
      <c r="B259" s="1" t="s">
        <v>19</v>
      </c>
      <c r="C259" s="1" t="s">
        <v>884</v>
      </c>
      <c r="D259" s="1" t="s">
        <v>885</v>
      </c>
      <c r="E259" s="1" t="s">
        <v>886</v>
      </c>
      <c r="F259" s="1" t="s">
        <v>23</v>
      </c>
    </row>
    <row r="260" spans="1:6" x14ac:dyDescent="0.25">
      <c r="A260" s="1" t="s">
        <v>859</v>
      </c>
      <c r="B260" s="1" t="s">
        <v>13</v>
      </c>
      <c r="C260" s="1" t="s">
        <v>881</v>
      </c>
      <c r="D260" s="1" t="s">
        <v>887</v>
      </c>
      <c r="E260" s="1" t="s">
        <v>888</v>
      </c>
      <c r="F260" s="1" t="s">
        <v>17</v>
      </c>
    </row>
    <row r="261" spans="1:6" x14ac:dyDescent="0.25">
      <c r="A261" s="1" t="s">
        <v>860</v>
      </c>
      <c r="B261" s="1" t="s">
        <v>13</v>
      </c>
      <c r="C261" s="1" t="s">
        <v>259</v>
      </c>
      <c r="D261" s="1" t="s">
        <v>889</v>
      </c>
      <c r="E261" s="1" t="s">
        <v>890</v>
      </c>
      <c r="F261" s="1" t="s">
        <v>32</v>
      </c>
    </row>
    <row r="262" spans="1:6" x14ac:dyDescent="0.25">
      <c r="A262" s="1" t="s">
        <v>801</v>
      </c>
      <c r="B262" s="1" t="s">
        <v>25</v>
      </c>
      <c r="C262" s="1" t="s">
        <v>891</v>
      </c>
      <c r="D262" s="1" t="s">
        <v>892</v>
      </c>
      <c r="E262" s="1" t="s">
        <v>893</v>
      </c>
      <c r="F262" s="1" t="s">
        <v>72</v>
      </c>
    </row>
    <row r="263" spans="1:6" x14ac:dyDescent="0.25">
      <c r="A263" s="1" t="s">
        <v>655</v>
      </c>
      <c r="B263" s="1" t="s">
        <v>25</v>
      </c>
      <c r="C263" s="1" t="s">
        <v>894</v>
      </c>
      <c r="D263" s="1" t="s">
        <v>895</v>
      </c>
      <c r="E263" s="1" t="s">
        <v>896</v>
      </c>
      <c r="F263" s="1" t="s">
        <v>19</v>
      </c>
    </row>
    <row r="264" spans="1:6" x14ac:dyDescent="0.25">
      <c r="A264" s="1" t="s">
        <v>861</v>
      </c>
      <c r="B264" s="1" t="s">
        <v>2</v>
      </c>
      <c r="C264" s="1" t="s">
        <v>897</v>
      </c>
      <c r="D264" s="1" t="s">
        <v>898</v>
      </c>
      <c r="E264" s="1" t="s">
        <v>899</v>
      </c>
      <c r="F264" s="1" t="s">
        <v>23</v>
      </c>
    </row>
    <row r="265" spans="1:6" x14ac:dyDescent="0.25">
      <c r="A265" s="1" t="s">
        <v>226</v>
      </c>
      <c r="B265" s="1" t="s">
        <v>19</v>
      </c>
      <c r="C265" s="1" t="s">
        <v>900</v>
      </c>
      <c r="D265" s="1" t="s">
        <v>901</v>
      </c>
      <c r="E265" s="1" t="s">
        <v>902</v>
      </c>
      <c r="F265" s="1" t="s">
        <v>19</v>
      </c>
    </row>
    <row r="266" spans="1:6" x14ac:dyDescent="0.25">
      <c r="A266" s="1" t="s">
        <v>903</v>
      </c>
      <c r="B266" s="1"/>
      <c r="C266" s="1"/>
      <c r="D266" s="1"/>
      <c r="E266" s="1"/>
      <c r="F266" s="1"/>
    </row>
    <row r="267" spans="1:6" x14ac:dyDescent="0.25">
      <c r="A267" s="1" t="s">
        <v>800</v>
      </c>
      <c r="B267" s="1" t="s">
        <v>25</v>
      </c>
      <c r="C267" s="1" t="s">
        <v>914</v>
      </c>
      <c r="D267" s="1" t="s">
        <v>915</v>
      </c>
      <c r="E267" s="1" t="s">
        <v>916</v>
      </c>
      <c r="F267" s="1" t="s">
        <v>102</v>
      </c>
    </row>
    <row r="268" spans="1:6" x14ac:dyDescent="0.25">
      <c r="A268" s="1" t="s">
        <v>808</v>
      </c>
      <c r="B268" s="1" t="s">
        <v>25</v>
      </c>
      <c r="C268" s="1" t="s">
        <v>917</v>
      </c>
      <c r="D268" s="1" t="s">
        <v>918</v>
      </c>
      <c r="E268" s="1" t="s">
        <v>919</v>
      </c>
      <c r="F268" s="1" t="s">
        <v>32</v>
      </c>
    </row>
    <row r="269" spans="1:6" x14ac:dyDescent="0.25">
      <c r="A269" s="1" t="s">
        <v>904</v>
      </c>
      <c r="B269" s="1" t="s">
        <v>19</v>
      </c>
      <c r="C269" s="1" t="s">
        <v>920</v>
      </c>
      <c r="D269" s="1" t="s">
        <v>921</v>
      </c>
      <c r="E269" s="1" t="s">
        <v>922</v>
      </c>
      <c r="F269" s="1" t="s">
        <v>73</v>
      </c>
    </row>
    <row r="270" spans="1:6" x14ac:dyDescent="0.25">
      <c r="A270" s="1" t="s">
        <v>905</v>
      </c>
      <c r="B270" s="1" t="s">
        <v>13</v>
      </c>
      <c r="C270" s="1" t="s">
        <v>403</v>
      </c>
      <c r="D270" s="1" t="s">
        <v>923</v>
      </c>
      <c r="E270" s="1" t="s">
        <v>924</v>
      </c>
      <c r="F270" s="1" t="s">
        <v>17</v>
      </c>
    </row>
    <row r="271" spans="1:6" x14ac:dyDescent="0.25">
      <c r="A271" s="1" t="s">
        <v>906</v>
      </c>
      <c r="B271" s="1" t="s">
        <v>19</v>
      </c>
      <c r="C271" s="1" t="s">
        <v>925</v>
      </c>
      <c r="D271" s="1" t="s">
        <v>926</v>
      </c>
      <c r="E271" s="1" t="s">
        <v>927</v>
      </c>
      <c r="F271" s="1" t="s">
        <v>32</v>
      </c>
    </row>
    <row r="272" spans="1:6" x14ac:dyDescent="0.25">
      <c r="A272" s="1" t="s">
        <v>907</v>
      </c>
      <c r="B272" s="1" t="s">
        <v>19</v>
      </c>
      <c r="C272" s="1" t="s">
        <v>914</v>
      </c>
      <c r="D272" s="1" t="s">
        <v>928</v>
      </c>
      <c r="E272" s="1" t="s">
        <v>929</v>
      </c>
      <c r="F272" s="1" t="s">
        <v>33</v>
      </c>
    </row>
    <row r="273" spans="1:6" x14ac:dyDescent="0.25">
      <c r="A273" s="1" t="s">
        <v>908</v>
      </c>
      <c r="B273" s="1" t="s">
        <v>2</v>
      </c>
      <c r="C273" s="1" t="s">
        <v>930</v>
      </c>
      <c r="D273" s="1" t="s">
        <v>931</v>
      </c>
      <c r="E273" s="1" t="s">
        <v>932</v>
      </c>
      <c r="F273" s="1" t="s">
        <v>32</v>
      </c>
    </row>
    <row r="274" spans="1:6" x14ac:dyDescent="0.25">
      <c r="A274" s="1" t="s">
        <v>489</v>
      </c>
      <c r="B274" s="1" t="s">
        <v>2</v>
      </c>
      <c r="C274" s="1" t="s">
        <v>933</v>
      </c>
      <c r="D274" s="1" t="s">
        <v>934</v>
      </c>
      <c r="E274" s="1" t="s">
        <v>935</v>
      </c>
      <c r="F274" s="1" t="s">
        <v>17</v>
      </c>
    </row>
    <row r="275" spans="1:6" x14ac:dyDescent="0.25">
      <c r="A275" s="1" t="s">
        <v>909</v>
      </c>
      <c r="B275" s="1" t="s">
        <v>19</v>
      </c>
      <c r="C275" s="1" t="s">
        <v>408</v>
      </c>
      <c r="D275" s="1" t="s">
        <v>936</v>
      </c>
      <c r="E275" s="1" t="s">
        <v>937</v>
      </c>
      <c r="F275" s="1" t="s">
        <v>32</v>
      </c>
    </row>
    <row r="276" spans="1:6" x14ac:dyDescent="0.25">
      <c r="A276" s="1" t="s">
        <v>910</v>
      </c>
      <c r="B276" s="1" t="s">
        <v>2</v>
      </c>
      <c r="C276" s="1" t="s">
        <v>408</v>
      </c>
      <c r="D276" s="1" t="s">
        <v>534</v>
      </c>
      <c r="E276" s="1" t="s">
        <v>938</v>
      </c>
      <c r="F276" s="1" t="s">
        <v>32</v>
      </c>
    </row>
    <row r="277" spans="1:6" x14ac:dyDescent="0.25">
      <c r="A277" s="1" t="s">
        <v>911</v>
      </c>
      <c r="B277" s="1" t="s">
        <v>2</v>
      </c>
      <c r="C277" s="1" t="s">
        <v>939</v>
      </c>
      <c r="D277" s="1" t="s">
        <v>940</v>
      </c>
      <c r="E277" s="1" t="s">
        <v>941</v>
      </c>
      <c r="F277" s="1" t="s">
        <v>32</v>
      </c>
    </row>
    <row r="278" spans="1:6" x14ac:dyDescent="0.25">
      <c r="A278" s="1" t="s">
        <v>857</v>
      </c>
      <c r="B278" s="1" t="s">
        <v>19</v>
      </c>
      <c r="C278" s="1" t="s">
        <v>942</v>
      </c>
      <c r="D278" s="1" t="s">
        <v>943</v>
      </c>
      <c r="E278" s="1" t="s">
        <v>944</v>
      </c>
      <c r="F278" s="1" t="s">
        <v>19</v>
      </c>
    </row>
    <row r="279" spans="1:6" x14ac:dyDescent="0.25">
      <c r="A279" s="1" t="s">
        <v>912</v>
      </c>
      <c r="B279" s="1" t="s">
        <v>25</v>
      </c>
      <c r="C279" s="1" t="s">
        <v>945</v>
      </c>
      <c r="D279" s="1" t="s">
        <v>946</v>
      </c>
      <c r="E279" s="1" t="s">
        <v>947</v>
      </c>
      <c r="F279" s="1" t="s">
        <v>32</v>
      </c>
    </row>
    <row r="280" spans="1:6" x14ac:dyDescent="0.25">
      <c r="A280" s="1" t="s">
        <v>226</v>
      </c>
      <c r="B280" s="1" t="s">
        <v>2</v>
      </c>
      <c r="C280" s="1" t="s">
        <v>948</v>
      </c>
      <c r="D280" s="1" t="s">
        <v>949</v>
      </c>
      <c r="E280" s="1" t="s">
        <v>950</v>
      </c>
      <c r="F280" s="1" t="s">
        <v>17</v>
      </c>
    </row>
    <row r="281" spans="1:6" x14ac:dyDescent="0.25">
      <c r="A281" s="1" t="s">
        <v>913</v>
      </c>
      <c r="B281" s="1" t="s">
        <v>13</v>
      </c>
      <c r="C281" s="1" t="s">
        <v>925</v>
      </c>
      <c r="D281" s="1" t="s">
        <v>951</v>
      </c>
      <c r="E281" s="1" t="s">
        <v>952</v>
      </c>
      <c r="F281" s="1" t="s">
        <v>23</v>
      </c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 t="s">
        <v>964</v>
      </c>
      <c r="B283" s="1"/>
      <c r="C283" s="1"/>
      <c r="D283" s="1"/>
      <c r="E283" s="1"/>
      <c r="F283" s="1"/>
    </row>
    <row r="284" spans="1:6" x14ac:dyDescent="0.25">
      <c r="A284" s="1" t="s">
        <v>965</v>
      </c>
      <c r="B284" s="1"/>
      <c r="C284" s="1" t="s">
        <v>971</v>
      </c>
      <c r="D284" s="1" t="s">
        <v>973</v>
      </c>
      <c r="E284" s="1" t="s">
        <v>974</v>
      </c>
      <c r="F284" s="1" t="s">
        <v>17</v>
      </c>
    </row>
    <row r="285" spans="1:6" x14ac:dyDescent="0.25">
      <c r="A285" s="1" t="s">
        <v>966</v>
      </c>
      <c r="B285" s="1"/>
      <c r="C285" s="1" t="s">
        <v>972</v>
      </c>
      <c r="D285" s="1" t="s">
        <v>975</v>
      </c>
      <c r="E285" s="1" t="s">
        <v>976</v>
      </c>
      <c r="F285" s="1" t="s">
        <v>17</v>
      </c>
    </row>
    <row r="286" spans="1:6" x14ac:dyDescent="0.25">
      <c r="A286" s="1" t="s">
        <v>967</v>
      </c>
      <c r="B286" s="1"/>
      <c r="C286" s="1" t="s">
        <v>149</v>
      </c>
      <c r="D286" s="1" t="s">
        <v>977</v>
      </c>
      <c r="E286" s="1" t="s">
        <v>978</v>
      </c>
      <c r="F286" s="1" t="s">
        <v>17</v>
      </c>
    </row>
    <row r="287" spans="1:6" x14ac:dyDescent="0.25">
      <c r="A287" s="1" t="s">
        <v>909</v>
      </c>
      <c r="B287" s="1"/>
      <c r="C287" s="1" t="s">
        <v>179</v>
      </c>
      <c r="D287" s="1" t="s">
        <v>979</v>
      </c>
      <c r="E287" s="1" t="s">
        <v>980</v>
      </c>
      <c r="F287" s="1" t="s">
        <v>23</v>
      </c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 t="s">
        <v>968</v>
      </c>
      <c r="B289" s="1"/>
      <c r="C289" s="1" t="s">
        <v>981</v>
      </c>
      <c r="D289" s="1" t="s">
        <v>982</v>
      </c>
      <c r="E289" s="1" t="s">
        <v>983</v>
      </c>
      <c r="F289" s="1" t="s">
        <v>19</v>
      </c>
    </row>
    <row r="290" spans="1:6" x14ac:dyDescent="0.25">
      <c r="A290" s="1" t="s">
        <v>904</v>
      </c>
      <c r="B290" s="1"/>
      <c r="C290" s="1" t="s">
        <v>726</v>
      </c>
      <c r="D290" s="1" t="s">
        <v>984</v>
      </c>
      <c r="E290" s="1" t="s">
        <v>985</v>
      </c>
      <c r="F290" s="1" t="s">
        <v>32</v>
      </c>
    </row>
    <row r="291" spans="1:6" x14ac:dyDescent="0.25">
      <c r="A291" s="1" t="s">
        <v>969</v>
      </c>
      <c r="B291" s="1"/>
      <c r="C291" s="1" t="s">
        <v>986</v>
      </c>
      <c r="D291" s="1" t="s">
        <v>987</v>
      </c>
      <c r="E291" s="1" t="s">
        <v>988</v>
      </c>
      <c r="F291" s="1" t="s">
        <v>17</v>
      </c>
    </row>
    <row r="292" spans="1:6" x14ac:dyDescent="0.25">
      <c r="A292" s="1" t="s">
        <v>970</v>
      </c>
      <c r="B292" s="1"/>
      <c r="C292" s="1" t="s">
        <v>881</v>
      </c>
      <c r="D292" s="1" t="s">
        <v>989</v>
      </c>
      <c r="E292" s="1" t="s">
        <v>990</v>
      </c>
      <c r="F292" s="1" t="s">
        <v>32</v>
      </c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 t="s">
        <v>996</v>
      </c>
      <c r="B294" s="1"/>
      <c r="C294" s="1" t="s">
        <v>997</v>
      </c>
      <c r="D294" s="1" t="s">
        <v>998</v>
      </c>
      <c r="E294" s="1" t="s">
        <v>999</v>
      </c>
      <c r="F294" s="1" t="s">
        <v>33</v>
      </c>
    </row>
    <row r="295" spans="1:6" x14ac:dyDescent="0.25">
      <c r="A295" s="1" t="s">
        <v>435</v>
      </c>
      <c r="B295" s="1"/>
      <c r="C295" s="1" t="s">
        <v>641</v>
      </c>
      <c r="D295" s="1" t="s">
        <v>1000</v>
      </c>
      <c r="E295" s="1" t="s">
        <v>1001</v>
      </c>
      <c r="F295" s="1" t="s">
        <v>73</v>
      </c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5335-9EA0-41D9-8628-EA1AC3C5ACAB}">
  <dimension ref="A1:F273"/>
  <sheetViews>
    <sheetView topLeftCell="A247" zoomScaleNormal="100" workbookViewId="0">
      <selection activeCell="B275" sqref="B275"/>
    </sheetView>
  </sheetViews>
  <sheetFormatPr defaultRowHeight="15" x14ac:dyDescent="0.25"/>
  <cols>
    <col min="1" max="1" width="45.28515625" customWidth="1"/>
    <col min="2" max="2" width="16.28515625" customWidth="1"/>
    <col min="3" max="3" width="15.28515625" customWidth="1"/>
    <col min="4" max="4" width="16.28515625" customWidth="1"/>
    <col min="5" max="5" width="15.85546875" customWidth="1"/>
  </cols>
  <sheetData>
    <row r="1" spans="1:5" x14ac:dyDescent="0.25">
      <c r="A1" s="1" t="s">
        <v>958</v>
      </c>
      <c r="B1" s="1" t="s">
        <v>956</v>
      </c>
      <c r="C1" s="1" t="s">
        <v>955</v>
      </c>
      <c r="D1" s="1" t="s">
        <v>954</v>
      </c>
      <c r="E1" s="1" t="s">
        <v>957</v>
      </c>
    </row>
    <row r="2" spans="1:5" x14ac:dyDescent="0.25">
      <c r="A2" s="2" t="s">
        <v>2</v>
      </c>
      <c r="B2" s="1">
        <f>0.756-0.756</f>
        <v>0</v>
      </c>
      <c r="C2" s="1">
        <f>96.7-101</f>
        <v>-4.2999999999999972</v>
      </c>
      <c r="D2" s="1">
        <f>89.6-94.4</f>
        <v>-4.8000000000000114</v>
      </c>
      <c r="E2" s="1">
        <v>-2</v>
      </c>
    </row>
    <row r="3" spans="1:5" x14ac:dyDescent="0.25">
      <c r="A3" s="1" t="s">
        <v>13</v>
      </c>
      <c r="B3" s="1">
        <f>0.756-0.707</f>
        <v>4.9000000000000044E-2</v>
      </c>
      <c r="C3" s="1">
        <f>96.7-96</f>
        <v>0.70000000000000284</v>
      </c>
      <c r="D3" s="1">
        <f>89.6-89.9</f>
        <v>-0.30000000000001137</v>
      </c>
      <c r="E3" s="1">
        <v>0</v>
      </c>
    </row>
    <row r="4" spans="1:5" x14ac:dyDescent="0.25">
      <c r="A4" s="1" t="s">
        <v>19</v>
      </c>
      <c r="B4" s="1">
        <f>0.756-0.744</f>
        <v>1.2000000000000011E-2</v>
      </c>
      <c r="C4" s="1">
        <f>101-105.5</f>
        <v>-4.5</v>
      </c>
      <c r="D4" s="1">
        <f>94.4-97.8</f>
        <v>-3.3999999999999915</v>
      </c>
      <c r="E4" s="1">
        <v>-2</v>
      </c>
    </row>
    <row r="5" spans="1:5" x14ac:dyDescent="0.25">
      <c r="A5" s="1" t="s">
        <v>25</v>
      </c>
      <c r="B5" s="1">
        <f>0.756-0.622</f>
        <v>0.13400000000000001</v>
      </c>
      <c r="C5" s="1">
        <f>96.7-96.6</f>
        <v>0.10000000000000853</v>
      </c>
      <c r="D5" s="1">
        <f>89.6-94.6</f>
        <v>-5</v>
      </c>
      <c r="E5" s="1">
        <v>2</v>
      </c>
    </row>
    <row r="6" spans="1:5" x14ac:dyDescent="0.25">
      <c r="A6" s="1" t="s">
        <v>25</v>
      </c>
      <c r="B6" s="1">
        <f>0.707-0.524</f>
        <v>0.18299999999999994</v>
      </c>
      <c r="C6" s="1">
        <f>96-91.6</f>
        <v>4.4000000000000057</v>
      </c>
      <c r="D6" s="1">
        <f>89.9-89.1</f>
        <v>0.80000000000001137</v>
      </c>
      <c r="E6" s="1">
        <v>1</v>
      </c>
    </row>
    <row r="7" spans="1:5" x14ac:dyDescent="0.25">
      <c r="A7" s="1" t="s">
        <v>25</v>
      </c>
      <c r="B7" s="1">
        <f>0.744-0.744</f>
        <v>0</v>
      </c>
      <c r="C7" s="1">
        <f>105.5-100.6</f>
        <v>4.9000000000000057</v>
      </c>
      <c r="D7" s="1">
        <f>97.8-93.4</f>
        <v>4.3999999999999915</v>
      </c>
      <c r="E7" s="1">
        <v>-2</v>
      </c>
    </row>
    <row r="8" spans="1:5" x14ac:dyDescent="0.25">
      <c r="A8" s="1" t="s">
        <v>25</v>
      </c>
      <c r="B8" s="1">
        <f>0.756-0.683</f>
        <v>7.2999999999999954E-2</v>
      </c>
      <c r="C8" s="1">
        <f>101-92.5</f>
        <v>8.5</v>
      </c>
      <c r="D8" s="1">
        <f>94.4-88.5</f>
        <v>5.9000000000000057</v>
      </c>
      <c r="E8" s="1">
        <v>2</v>
      </c>
    </row>
    <row r="9" spans="1:5" x14ac:dyDescent="0.25">
      <c r="A9" s="1" t="s">
        <v>25</v>
      </c>
      <c r="B9" s="1">
        <f>0.74-0.54</f>
        <v>0.19999999999999996</v>
      </c>
      <c r="C9" s="1">
        <f>92.8-86.4</f>
        <v>6.3999999999999915</v>
      </c>
      <c r="D9" s="1">
        <f>84.7-85.4</f>
        <v>-0.70000000000000284</v>
      </c>
      <c r="E9" s="1">
        <v>0</v>
      </c>
    </row>
    <row r="10" spans="1:5" x14ac:dyDescent="0.25">
      <c r="A10" s="1" t="s">
        <v>2</v>
      </c>
      <c r="B10" s="1">
        <f>0.54-0.66</f>
        <v>-0.12</v>
      </c>
      <c r="C10" s="1">
        <f>86.4-94.7</f>
        <v>-8.2999999999999972</v>
      </c>
      <c r="D10" s="1">
        <f>85.4-90.9</f>
        <v>-5.5</v>
      </c>
      <c r="E10" s="1">
        <v>-1</v>
      </c>
    </row>
    <row r="11" spans="1:5" x14ac:dyDescent="0.25">
      <c r="A11" s="1" t="s">
        <v>19</v>
      </c>
      <c r="B11" s="1">
        <f>0.74-0.7</f>
        <v>4.0000000000000036E-2</v>
      </c>
      <c r="C11" s="1">
        <f>92.8-94.8</f>
        <v>-2</v>
      </c>
      <c r="D11" s="1">
        <f>84.7-88.5</f>
        <v>-3.7999999999999972</v>
      </c>
      <c r="E11" s="1">
        <v>2</v>
      </c>
    </row>
    <row r="12" spans="1:5" x14ac:dyDescent="0.25">
      <c r="A12" s="1" t="s">
        <v>19</v>
      </c>
      <c r="B12" s="1">
        <f>0.66-0.56</f>
        <v>9.9999999999999978E-2</v>
      </c>
      <c r="C12" s="1">
        <f>94.7-89.7</f>
        <v>5</v>
      </c>
      <c r="D12" s="1">
        <f>90.9-87.6</f>
        <v>3.3000000000000114</v>
      </c>
      <c r="E12" s="1">
        <v>-1</v>
      </c>
    </row>
    <row r="13" spans="1:5" x14ac:dyDescent="0.25">
      <c r="A13" s="1" t="s">
        <v>19</v>
      </c>
      <c r="B13" s="1">
        <f>0.54-0.62</f>
        <v>-7.999999999999996E-2</v>
      </c>
      <c r="C13" s="1">
        <f>86.4-86.3</f>
        <v>0.10000000000000853</v>
      </c>
      <c r="D13" s="1">
        <f>85.4-83.4</f>
        <v>2</v>
      </c>
      <c r="E13" s="1">
        <v>-1</v>
      </c>
    </row>
    <row r="14" spans="1:5" x14ac:dyDescent="0.25">
      <c r="A14" s="1" t="s">
        <v>2</v>
      </c>
      <c r="B14" s="1">
        <f>0.7-0.74</f>
        <v>-4.0000000000000036E-2</v>
      </c>
      <c r="C14" s="1">
        <f>94.8-93.3</f>
        <v>1.5</v>
      </c>
      <c r="D14" s="1">
        <f>88.5-86.8</f>
        <v>1.7000000000000028</v>
      </c>
      <c r="E14" s="1">
        <v>-1</v>
      </c>
    </row>
    <row r="15" spans="1:5" x14ac:dyDescent="0.25">
      <c r="A15" s="1" t="s">
        <v>19</v>
      </c>
      <c r="B15" s="1">
        <f>0.74-0.62</f>
        <v>0.12</v>
      </c>
      <c r="C15" s="1">
        <f>92.8-99</f>
        <v>-6.2000000000000028</v>
      </c>
      <c r="D15" s="1">
        <f>84.7-96</f>
        <v>-11.299999999999997</v>
      </c>
      <c r="E15" s="1">
        <v>3</v>
      </c>
    </row>
    <row r="16" spans="1:5" x14ac:dyDescent="0.25">
      <c r="A16" s="1" t="s">
        <v>2</v>
      </c>
      <c r="B16" s="1">
        <f>0.817-0.683</f>
        <v>0.1339999999999999</v>
      </c>
      <c r="C16" s="1">
        <f>100.8-101.3</f>
        <v>-0.5</v>
      </c>
      <c r="D16" s="1">
        <f>92.3-96.7</f>
        <v>-4.4000000000000057</v>
      </c>
      <c r="E16" s="1">
        <v>0</v>
      </c>
    </row>
    <row r="17" spans="1:5" x14ac:dyDescent="0.25">
      <c r="A17" s="1" t="s">
        <v>2</v>
      </c>
      <c r="B17" s="1">
        <f>0.683-0.61</f>
        <v>7.3000000000000065E-2</v>
      </c>
      <c r="C17" s="1">
        <f>101.3-92.1</f>
        <v>9.2000000000000028</v>
      </c>
      <c r="D17" s="1">
        <f>96.7-90.7</f>
        <v>6</v>
      </c>
      <c r="E17" s="1">
        <v>0</v>
      </c>
    </row>
    <row r="18" spans="1:5" x14ac:dyDescent="0.25">
      <c r="A18" s="1" t="s">
        <v>13</v>
      </c>
      <c r="B18" s="1">
        <f>0.817-0.72</f>
        <v>9.6999999999999975E-2</v>
      </c>
      <c r="C18" s="1">
        <f>100.8-97.5</f>
        <v>3.2999999999999972</v>
      </c>
      <c r="D18" s="1">
        <f>92.3-91</f>
        <v>1.2999999999999972</v>
      </c>
      <c r="E18" s="1">
        <v>0</v>
      </c>
    </row>
    <row r="19" spans="1:5" x14ac:dyDescent="0.25">
      <c r="A19" s="1" t="s">
        <v>2</v>
      </c>
      <c r="B19" s="1">
        <f>0.683-0.598</f>
        <v>8.5000000000000075E-2</v>
      </c>
      <c r="C19" s="1">
        <f>101.3-94.8</f>
        <v>6.5</v>
      </c>
      <c r="D19" s="1">
        <f>96.7-93.4</f>
        <v>3.2999999999999972</v>
      </c>
      <c r="E19" s="1">
        <v>0</v>
      </c>
    </row>
    <row r="20" spans="1:5" x14ac:dyDescent="0.25">
      <c r="A20" s="1" t="s">
        <v>13</v>
      </c>
      <c r="B20" s="1">
        <f>0.61-0.634</f>
        <v>-2.4000000000000021E-2</v>
      </c>
      <c r="C20" s="1">
        <f>92.1-94.4</f>
        <v>-2.3000000000000114</v>
      </c>
      <c r="D20" s="1">
        <f>90.7-91.3</f>
        <v>-0.59999999999999432</v>
      </c>
      <c r="E20" s="1">
        <v>-2</v>
      </c>
    </row>
    <row r="21" spans="1:5" x14ac:dyDescent="0.25">
      <c r="A21" s="1" t="s">
        <v>25</v>
      </c>
      <c r="B21" s="1">
        <f>0.817-0.646</f>
        <v>0.17099999999999993</v>
      </c>
      <c r="C21" s="1">
        <f>100.8-98.9</f>
        <v>1.8999999999999915</v>
      </c>
      <c r="D21" s="1">
        <f>92.3-93.7</f>
        <v>-1.4000000000000057</v>
      </c>
      <c r="E21" s="1">
        <v>4</v>
      </c>
    </row>
    <row r="22" spans="1:5" x14ac:dyDescent="0.25">
      <c r="A22" s="1" t="s">
        <v>25</v>
      </c>
      <c r="B22" s="1">
        <f>0.72-0.671</f>
        <v>4.8999999999999932E-2</v>
      </c>
      <c r="C22" s="1">
        <f>97.5-96.5</f>
        <v>1</v>
      </c>
      <c r="D22" s="1">
        <f>91-92</f>
        <v>-1</v>
      </c>
      <c r="E22" s="1">
        <v>2</v>
      </c>
    </row>
    <row r="23" spans="1:5" x14ac:dyDescent="0.25">
      <c r="A23" s="1" t="s">
        <v>25</v>
      </c>
      <c r="B23" s="1">
        <f>0.683-0.683</f>
        <v>0</v>
      </c>
      <c r="C23" s="1">
        <f>100.6-94.7</f>
        <v>5.8999999999999915</v>
      </c>
      <c r="D23" s="1">
        <f>97.2-90.4</f>
        <v>6.7999999999999972</v>
      </c>
      <c r="E23" s="1">
        <v>0</v>
      </c>
    </row>
    <row r="24" spans="1:5" x14ac:dyDescent="0.25">
      <c r="A24" s="1" t="s">
        <v>13</v>
      </c>
      <c r="B24" s="1">
        <f>0.683-0.634</f>
        <v>4.9000000000000044E-2</v>
      </c>
      <c r="C24" s="1">
        <f>94.7-100.7</f>
        <v>-6</v>
      </c>
      <c r="D24" s="1">
        <f>90.4-96.9</f>
        <v>-6.5</v>
      </c>
      <c r="E24" s="1">
        <v>0</v>
      </c>
    </row>
    <row r="25" spans="1:5" x14ac:dyDescent="0.25">
      <c r="A25" s="1" t="s">
        <v>19</v>
      </c>
      <c r="B25" s="1">
        <f>0.683-0.707</f>
        <v>-2.399999999999991E-2</v>
      </c>
      <c r="C25" s="1">
        <f>100.6-96.2</f>
        <v>4.3999999999999915</v>
      </c>
      <c r="D25" s="1">
        <f>97.2-88.4</f>
        <v>8.7999999999999972</v>
      </c>
      <c r="E25" s="1">
        <v>0</v>
      </c>
    </row>
    <row r="26" spans="1:5" x14ac:dyDescent="0.25">
      <c r="A26" s="1" t="s">
        <v>13</v>
      </c>
      <c r="B26" s="1">
        <f>0.634-0.561</f>
        <v>7.2999999999999954E-2</v>
      </c>
      <c r="C26" s="1">
        <f>100.7-91.9</f>
        <v>8.7999999999999972</v>
      </c>
      <c r="D26" s="1">
        <f>96.9-89.8</f>
        <v>7.1000000000000085</v>
      </c>
      <c r="E26" s="1">
        <v>-2</v>
      </c>
    </row>
    <row r="27" spans="1:5" x14ac:dyDescent="0.25">
      <c r="A27" s="1" t="s">
        <v>13</v>
      </c>
      <c r="B27" s="1">
        <f>0.683-0.573</f>
        <v>0.1100000000000001</v>
      </c>
      <c r="C27" s="1">
        <f>94.7-97.6</f>
        <v>-2.8999999999999915</v>
      </c>
      <c r="D27" s="1">
        <f>90.4-95.4</f>
        <v>-5</v>
      </c>
      <c r="E27" s="1">
        <v>-2</v>
      </c>
    </row>
    <row r="28" spans="1:5" x14ac:dyDescent="0.25">
      <c r="A28" s="1" t="s">
        <v>19</v>
      </c>
      <c r="B28" s="1">
        <f>0.683-0.671</f>
        <v>1.2000000000000011E-2</v>
      </c>
      <c r="C28" s="1">
        <f>100.6-101.7</f>
        <v>-1.1000000000000085</v>
      </c>
      <c r="D28" s="1">
        <f>97.2-95.9</f>
        <v>1.2999999999999972</v>
      </c>
      <c r="E28" s="1">
        <v>2</v>
      </c>
    </row>
    <row r="29" spans="1:5" x14ac:dyDescent="0.25">
      <c r="A29" s="1" t="s">
        <v>25</v>
      </c>
      <c r="B29" s="1">
        <f>0.707-0.646</f>
        <v>6.0999999999999943E-2</v>
      </c>
      <c r="C29" s="1">
        <f>96.2-100.5</f>
        <v>-4.2999999999999972</v>
      </c>
      <c r="D29" s="1">
        <f>88.4-96.2</f>
        <v>-7.7999999999999972</v>
      </c>
      <c r="E29" s="1">
        <v>2</v>
      </c>
    </row>
    <row r="30" spans="1:5" x14ac:dyDescent="0.25">
      <c r="A30" s="1" t="s">
        <v>19</v>
      </c>
      <c r="B30" s="1">
        <f>0.707-0.634</f>
        <v>7.2999999999999954E-2</v>
      </c>
      <c r="C30" s="1">
        <f>101.3-96.2</f>
        <v>5.0999999999999943</v>
      </c>
      <c r="D30" s="1">
        <f>94.1-92</f>
        <v>2.0999999999999943</v>
      </c>
      <c r="E30" s="1">
        <v>0</v>
      </c>
    </row>
    <row r="31" spans="1:5" x14ac:dyDescent="0.25">
      <c r="A31" s="1" t="s">
        <v>2</v>
      </c>
      <c r="B31" s="1">
        <f>0.634-0.598</f>
        <v>3.6000000000000032E-2</v>
      </c>
      <c r="C31" s="1">
        <f>96.2-96.4</f>
        <v>-0.20000000000000284</v>
      </c>
      <c r="D31" s="1">
        <f>92-94.1</f>
        <v>-2.0999999999999943</v>
      </c>
      <c r="E31" s="1">
        <v>-2</v>
      </c>
    </row>
    <row r="32" spans="1:5" x14ac:dyDescent="0.25">
      <c r="A32" s="1" t="s">
        <v>13</v>
      </c>
      <c r="B32" s="1">
        <f>0.707-0.744</f>
        <v>-3.7000000000000033E-2</v>
      </c>
      <c r="C32" s="1">
        <f>101.3-104.6</f>
        <v>-3.2999999999999972</v>
      </c>
      <c r="D32" s="1">
        <f>94.1-97</f>
        <v>-2.9000000000000057</v>
      </c>
      <c r="E32" s="1">
        <v>2</v>
      </c>
    </row>
    <row r="33" spans="1:5" x14ac:dyDescent="0.25">
      <c r="A33" s="1" t="s">
        <v>25</v>
      </c>
      <c r="B33" s="1">
        <f>0.598-0.61</f>
        <v>-1.2000000000000011E-2</v>
      </c>
      <c r="C33" s="1">
        <f>96.4-94.3</f>
        <v>2.1000000000000085</v>
      </c>
      <c r="D33" s="1">
        <f>94.1-92.2</f>
        <v>1.8999999999999915</v>
      </c>
      <c r="E33" s="1">
        <v>0</v>
      </c>
    </row>
    <row r="34" spans="1:5" x14ac:dyDescent="0.25">
      <c r="A34" s="1" t="s">
        <v>25</v>
      </c>
      <c r="B34" s="1">
        <f>0.634-0.537</f>
        <v>9.6999999999999975E-2</v>
      </c>
      <c r="C34" s="1">
        <f>96.2-93.9</f>
        <v>2.2999999999999972</v>
      </c>
      <c r="D34" s="1">
        <f>92-92.9</f>
        <v>-0.90000000000000568</v>
      </c>
      <c r="E34" s="1">
        <v>2</v>
      </c>
    </row>
    <row r="35" spans="1:5" x14ac:dyDescent="0.25">
      <c r="A35" s="1" t="s">
        <v>25</v>
      </c>
      <c r="B35" s="1">
        <f>0.707-0.707</f>
        <v>0</v>
      </c>
      <c r="C35" s="1">
        <f>101.3-96.7</f>
        <v>4.5999999999999943</v>
      </c>
      <c r="D35" s="1">
        <f>94.1-90.5</f>
        <v>3.5999999999999943</v>
      </c>
      <c r="E35" s="1">
        <v>2</v>
      </c>
    </row>
    <row r="36" spans="1:5" x14ac:dyDescent="0.25">
      <c r="A36" s="1" t="s">
        <v>25</v>
      </c>
      <c r="B36" s="1">
        <f>0.744-0.695</f>
        <v>4.9000000000000044E-2</v>
      </c>
      <c r="C36" s="1">
        <f>104.6-105.2</f>
        <v>-0.60000000000000853</v>
      </c>
      <c r="D36" s="1">
        <f>97-101</f>
        <v>-4</v>
      </c>
      <c r="E36" s="1">
        <v>-2</v>
      </c>
    </row>
    <row r="37" spans="1:5" x14ac:dyDescent="0.25">
      <c r="A37" s="1" t="s">
        <v>2</v>
      </c>
      <c r="B37" s="1">
        <f>0.732-0.598</f>
        <v>0.13400000000000001</v>
      </c>
      <c r="C37" s="1">
        <f>95.8-95.4</f>
        <v>0.39999999999999147</v>
      </c>
      <c r="D37" s="1">
        <f>90.4-90.1</f>
        <v>0.30000000000001137</v>
      </c>
      <c r="E37" s="1">
        <v>0</v>
      </c>
    </row>
    <row r="38" spans="1:5" x14ac:dyDescent="0.25">
      <c r="A38" s="1" t="s">
        <v>19</v>
      </c>
      <c r="B38" s="1">
        <f>0.598-0.61</f>
        <v>-1.2000000000000011E-2</v>
      </c>
      <c r="C38" s="1">
        <f>95.4-91.4</f>
        <v>4</v>
      </c>
      <c r="D38" s="1">
        <f>90.1-87.7</f>
        <v>2.3999999999999915</v>
      </c>
      <c r="E38" s="1">
        <v>-1</v>
      </c>
    </row>
    <row r="39" spans="1:5" x14ac:dyDescent="0.25">
      <c r="A39" s="1" t="s">
        <v>2</v>
      </c>
      <c r="B39" s="1">
        <f>0.732-0.732</f>
        <v>0</v>
      </c>
      <c r="C39" s="1">
        <f>95.8-103</f>
        <v>-7.2000000000000028</v>
      </c>
      <c r="D39" s="1">
        <f>90.4-95.2</f>
        <v>-4.7999999999999972</v>
      </c>
      <c r="E39" s="1">
        <v>0</v>
      </c>
    </row>
    <row r="40" spans="1:5" x14ac:dyDescent="0.25">
      <c r="A40" s="1" t="s">
        <v>2</v>
      </c>
      <c r="B40" s="1">
        <f>0.61-0.585</f>
        <v>2.5000000000000022E-2</v>
      </c>
      <c r="C40" s="1">
        <f>91.4-96.8</f>
        <v>-5.3999999999999915</v>
      </c>
      <c r="D40" s="1">
        <f>87.7-94.5</f>
        <v>-6.7999999999999972</v>
      </c>
      <c r="E40" s="1">
        <v>0</v>
      </c>
    </row>
    <row r="41" spans="1:5" x14ac:dyDescent="0.25">
      <c r="A41" s="1" t="s">
        <v>19</v>
      </c>
      <c r="B41" s="1">
        <f>0.598-0.537</f>
        <v>6.0999999999999943E-2</v>
      </c>
      <c r="C41" s="1">
        <f>95.4-92.7</f>
        <v>2.7000000000000028</v>
      </c>
      <c r="D41" s="1">
        <f>90.1-93.1</f>
        <v>-3</v>
      </c>
      <c r="E41" s="1">
        <v>2</v>
      </c>
    </row>
    <row r="42" spans="1:5" x14ac:dyDescent="0.25">
      <c r="A42" s="1" t="s">
        <v>13</v>
      </c>
      <c r="B42" s="1">
        <f>0.732-0.72</f>
        <v>1.2000000000000011E-2</v>
      </c>
      <c r="C42" s="1">
        <f>103-101.7</f>
        <v>1.2999999999999972</v>
      </c>
      <c r="D42" s="1">
        <f>95.2-95.2</f>
        <v>0</v>
      </c>
      <c r="E42" s="1">
        <v>-2</v>
      </c>
    </row>
    <row r="43" spans="1:5" x14ac:dyDescent="0.25">
      <c r="A43" s="1" t="s">
        <v>2</v>
      </c>
      <c r="B43" s="1">
        <f>0.732-0.61</f>
        <v>0.122</v>
      </c>
      <c r="C43" s="1">
        <f>95.8-100.4</f>
        <v>-4.6000000000000085</v>
      </c>
      <c r="D43" s="1">
        <f>90.4-98</f>
        <v>-7.5999999999999943</v>
      </c>
      <c r="E43" s="1">
        <v>4</v>
      </c>
    </row>
    <row r="44" spans="1:5" x14ac:dyDescent="0.25">
      <c r="A44" s="1" t="s">
        <v>2</v>
      </c>
      <c r="B44" s="1">
        <f>0.537-0.585</f>
        <v>-4.7999999999999932E-2</v>
      </c>
      <c r="C44" s="1">
        <f>92.7-96.8</f>
        <v>-4.0999999999999943</v>
      </c>
      <c r="D44" s="1">
        <f>93.1-93.3</f>
        <v>-0.20000000000000284</v>
      </c>
      <c r="E44" s="1">
        <v>0</v>
      </c>
    </row>
    <row r="45" spans="1:5" x14ac:dyDescent="0.25">
      <c r="A45" s="1" t="s">
        <v>13</v>
      </c>
      <c r="B45" s="1">
        <f>0.61-0.512</f>
        <v>9.7999999999999976E-2</v>
      </c>
      <c r="C45" s="1">
        <f>91.4-98.5</f>
        <v>-7.0999999999999943</v>
      </c>
      <c r="D45" s="1">
        <f>87.7-98.4</f>
        <v>-10.700000000000003</v>
      </c>
      <c r="E45" s="1">
        <v>1</v>
      </c>
    </row>
    <row r="46" spans="1:5" x14ac:dyDescent="0.25">
      <c r="A46" s="1" t="s">
        <v>2</v>
      </c>
      <c r="B46" s="1">
        <f>0.598-0.512</f>
        <v>8.5999999999999965E-2</v>
      </c>
      <c r="C46" s="1">
        <f>95.4-99.5</f>
        <v>-4.0999999999999943</v>
      </c>
      <c r="D46" s="1">
        <f>90.1-99.3</f>
        <v>-9.2000000000000028</v>
      </c>
      <c r="E46" s="1">
        <v>0</v>
      </c>
    </row>
    <row r="47" spans="1:5" x14ac:dyDescent="0.25">
      <c r="A47" s="1" t="s">
        <v>2</v>
      </c>
      <c r="B47" s="1">
        <f>0.585-0.573</f>
        <v>1.2000000000000011E-2</v>
      </c>
      <c r="C47" s="1">
        <f>96.8-93.9</f>
        <v>2.8999999999999915</v>
      </c>
      <c r="D47" s="1">
        <f>94.5-91.8</f>
        <v>2.7000000000000028</v>
      </c>
      <c r="E47" s="1">
        <v>-1</v>
      </c>
    </row>
    <row r="48" spans="1:5" x14ac:dyDescent="0.25">
      <c r="A48" s="1" t="s">
        <v>13</v>
      </c>
      <c r="B48" s="1">
        <f>0.732-0.61</f>
        <v>0.122</v>
      </c>
      <c r="C48" s="1">
        <f>103-95.2</f>
        <v>7.7999999999999972</v>
      </c>
      <c r="D48" s="1">
        <f>95.2-92.5</f>
        <v>2.7000000000000028</v>
      </c>
      <c r="E48" s="1">
        <v>0</v>
      </c>
    </row>
    <row r="49" spans="1:5" x14ac:dyDescent="0.25">
      <c r="A49" s="1" t="s">
        <v>2</v>
      </c>
      <c r="B49" s="1">
        <f>0.61-0.622</f>
        <v>-1.2000000000000011E-2</v>
      </c>
      <c r="C49" s="1">
        <f>100.4-98.1</f>
        <v>2.3000000000000114</v>
      </c>
      <c r="D49" s="1">
        <f>98-96</f>
        <v>2</v>
      </c>
      <c r="E49" s="1">
        <v>0</v>
      </c>
    </row>
    <row r="50" spans="1:5" x14ac:dyDescent="0.25">
      <c r="A50" s="1" t="s">
        <v>25</v>
      </c>
      <c r="B50" s="1">
        <f>0.72-0.573</f>
        <v>0.14700000000000002</v>
      </c>
      <c r="C50" s="1">
        <f>101.7-94.7</f>
        <v>7</v>
      </c>
      <c r="D50" s="1">
        <f>95.2-92.3</f>
        <v>2.9000000000000057</v>
      </c>
      <c r="E50" s="1">
        <v>2</v>
      </c>
    </row>
    <row r="51" spans="1:5" x14ac:dyDescent="0.25">
      <c r="A51" s="1" t="s">
        <v>2</v>
      </c>
      <c r="B51" s="1">
        <f>0.732-0.537</f>
        <v>0.19499999999999995</v>
      </c>
      <c r="C51" s="1">
        <f>95.8-95.5</f>
        <v>0.29999999999999716</v>
      </c>
      <c r="D51" s="1">
        <f>90.4-94.4</f>
        <v>-4</v>
      </c>
      <c r="E51" s="1">
        <v>-2</v>
      </c>
    </row>
    <row r="52" spans="1:5" x14ac:dyDescent="0.25">
      <c r="A52" s="1" t="s">
        <v>25</v>
      </c>
      <c r="B52" s="1">
        <f>0.659-0.683</f>
        <v>-2.4000000000000021E-2</v>
      </c>
      <c r="C52" s="1">
        <f>90.1-98.2</f>
        <v>-8.1000000000000085</v>
      </c>
      <c r="D52" s="1">
        <f>84.3-94.3</f>
        <v>-10</v>
      </c>
      <c r="E52" s="1">
        <v>0</v>
      </c>
    </row>
    <row r="53" spans="1:5" x14ac:dyDescent="0.25">
      <c r="A53" s="1" t="s">
        <v>2</v>
      </c>
      <c r="B53" s="1">
        <f>0.659-0.744</f>
        <v>-8.4999999999999964E-2</v>
      </c>
      <c r="C53" s="1">
        <f>90.1-91.4</f>
        <v>-1.3000000000000114</v>
      </c>
      <c r="D53" s="1">
        <f>84.3-85.6</f>
        <v>-1.2999999999999972</v>
      </c>
      <c r="E53" s="1">
        <v>-2</v>
      </c>
    </row>
    <row r="54" spans="1:5" x14ac:dyDescent="0.25">
      <c r="A54" s="1" t="s">
        <v>2</v>
      </c>
      <c r="B54" s="1">
        <f>0.683-0.707</f>
        <v>-2.399999999999991E-2</v>
      </c>
      <c r="C54" s="1">
        <f>98.2-94.5</f>
        <v>3.7000000000000028</v>
      </c>
      <c r="D54" s="1">
        <f>94.3-89.1</f>
        <v>5.2000000000000028</v>
      </c>
      <c r="E54" s="1">
        <v>-2</v>
      </c>
    </row>
    <row r="55" spans="1:5" x14ac:dyDescent="0.25">
      <c r="A55" s="1" t="s">
        <v>13</v>
      </c>
      <c r="B55" s="1">
        <f>0.659-0.573</f>
        <v>8.6000000000000076E-2</v>
      </c>
      <c r="C55" s="1">
        <f>90.1-90.3</f>
        <v>-0.20000000000000284</v>
      </c>
      <c r="D55" s="1">
        <f>84.3-87.8</f>
        <v>-3.5</v>
      </c>
      <c r="E55" s="1">
        <v>0</v>
      </c>
    </row>
    <row r="56" spans="1:5" x14ac:dyDescent="0.25">
      <c r="A56" s="1" t="s">
        <v>2</v>
      </c>
      <c r="B56" s="1">
        <f>0.744-0.512</f>
        <v>0.23199999999999998</v>
      </c>
      <c r="C56" s="1">
        <f>91.4-90.3</f>
        <v>1.1000000000000085</v>
      </c>
      <c r="D56" s="1">
        <f>85.6-89.7</f>
        <v>-4.1000000000000085</v>
      </c>
      <c r="E56" s="1">
        <v>3</v>
      </c>
    </row>
    <row r="57" spans="1:5" x14ac:dyDescent="0.25">
      <c r="A57" s="1" t="s">
        <v>2</v>
      </c>
      <c r="B57" s="1">
        <f>0.683-0.695</f>
        <v>-1.19999999999999E-2</v>
      </c>
      <c r="C57" s="1">
        <f>98.2-91.5</f>
        <v>6.7000000000000028</v>
      </c>
      <c r="D57" s="1">
        <f>94.3-84.3</f>
        <v>10</v>
      </c>
      <c r="E57" s="1">
        <v>2</v>
      </c>
    </row>
    <row r="58" spans="1:5" x14ac:dyDescent="0.25">
      <c r="A58" s="1" t="s">
        <v>13</v>
      </c>
      <c r="B58" s="1">
        <f>0.707-0.671</f>
        <v>3.5999999999999921E-2</v>
      </c>
      <c r="C58" s="1">
        <f>94.5-102.8</f>
        <v>-8.2999999999999972</v>
      </c>
      <c r="D58" s="1">
        <f>89.1-97.8</f>
        <v>-8.7000000000000028</v>
      </c>
      <c r="E58" s="1">
        <v>2</v>
      </c>
    </row>
    <row r="59" spans="1:5" x14ac:dyDescent="0.25">
      <c r="A59" s="1" t="s">
        <v>25</v>
      </c>
      <c r="B59" s="1">
        <f>0.659-0.5</f>
        <v>0.15900000000000003</v>
      </c>
      <c r="C59" s="1">
        <f>90.1-98</f>
        <v>-7.9000000000000057</v>
      </c>
      <c r="D59" s="1">
        <f>84.3-97</f>
        <v>-12.700000000000003</v>
      </c>
      <c r="E59" s="1">
        <v>2</v>
      </c>
    </row>
    <row r="60" spans="1:5" x14ac:dyDescent="0.25">
      <c r="A60" s="1" t="s">
        <v>19</v>
      </c>
      <c r="B60" s="1">
        <f>0.744-0.439</f>
        <v>0.30499999999999999</v>
      </c>
      <c r="C60" s="1">
        <f>91.4-95.3</f>
        <v>-3.8999999999999915</v>
      </c>
      <c r="D60" s="1">
        <f>85.6-96.7</f>
        <v>-11.100000000000009</v>
      </c>
      <c r="E60" s="1">
        <v>2</v>
      </c>
    </row>
    <row r="61" spans="1:5" x14ac:dyDescent="0.25">
      <c r="A61" s="1" t="s">
        <v>13</v>
      </c>
      <c r="B61" s="1">
        <f>0.512-0.5</f>
        <v>1.2000000000000011E-2</v>
      </c>
      <c r="C61" s="1">
        <f>90.3-91.8</f>
        <v>-1.5</v>
      </c>
      <c r="D61" s="1">
        <f>89.7-91.9</f>
        <v>-2.2000000000000028</v>
      </c>
      <c r="E61" s="1">
        <v>2</v>
      </c>
    </row>
    <row r="62" spans="1:5" x14ac:dyDescent="0.25">
      <c r="A62" s="1" t="s">
        <v>19</v>
      </c>
      <c r="B62" s="1">
        <f>0.573-0.476</f>
        <v>9.6999999999999975E-2</v>
      </c>
      <c r="C62" s="1">
        <f>90.3-92</f>
        <v>-1.7000000000000028</v>
      </c>
      <c r="D62" s="1">
        <f>87.8-93.5</f>
        <v>-5.7000000000000028</v>
      </c>
      <c r="E62" s="1">
        <v>2</v>
      </c>
    </row>
    <row r="63" spans="1:5" x14ac:dyDescent="0.25">
      <c r="A63" s="1" t="s">
        <v>25</v>
      </c>
      <c r="B63" s="1">
        <f>0.683-0.549</f>
        <v>0.13400000000000001</v>
      </c>
      <c r="C63" s="1">
        <f>98.2-89.8</f>
        <v>8.4000000000000057</v>
      </c>
      <c r="D63" s="1">
        <f>94.3-88</f>
        <v>6.2999999999999972</v>
      </c>
      <c r="E63" s="1">
        <v>0</v>
      </c>
    </row>
    <row r="64" spans="1:5" x14ac:dyDescent="0.25">
      <c r="A64" s="1" t="s">
        <v>25</v>
      </c>
      <c r="B64" s="1">
        <f>0.707-0.524</f>
        <v>0.18299999999999994</v>
      </c>
      <c r="C64" s="1">
        <f>94.5-97.2</f>
        <v>-2.7000000000000028</v>
      </c>
      <c r="D64" s="1">
        <f>89.1-96.1</f>
        <v>-7</v>
      </c>
      <c r="E64" s="1">
        <v>2</v>
      </c>
    </row>
    <row r="65" spans="1:5" x14ac:dyDescent="0.25">
      <c r="A65" s="1" t="s">
        <v>25</v>
      </c>
      <c r="B65" s="1">
        <f>0.671-0.634</f>
        <v>3.7000000000000033E-2</v>
      </c>
      <c r="C65" s="1">
        <f>102.8-105.2</f>
        <v>-2.4000000000000057</v>
      </c>
      <c r="D65" s="1">
        <f>97.8-100.8</f>
        <v>-3</v>
      </c>
      <c r="E65" s="1">
        <v>-2</v>
      </c>
    </row>
    <row r="66" spans="1:5" x14ac:dyDescent="0.25">
      <c r="A66" s="1" t="s">
        <v>19</v>
      </c>
      <c r="B66" s="1">
        <f>0.695-0.61</f>
        <v>8.4999999999999964E-2</v>
      </c>
      <c r="C66" s="1">
        <f>91.5-96.7</f>
        <v>-5.2000000000000028</v>
      </c>
      <c r="D66" s="1">
        <f>84.3-94.3</f>
        <v>-10</v>
      </c>
      <c r="E66" s="1">
        <v>-2</v>
      </c>
    </row>
    <row r="67" spans="1:5" x14ac:dyDescent="0.25">
      <c r="A67" s="1" t="s">
        <v>13</v>
      </c>
      <c r="B67" s="1">
        <f>0.72-0.659</f>
        <v>6.0999999999999943E-2</v>
      </c>
      <c r="C67" s="1">
        <f>96.2-93.3</f>
        <v>2.9000000000000057</v>
      </c>
      <c r="D67" s="1">
        <f>88.4-89.5</f>
        <v>-1.0999999999999943</v>
      </c>
      <c r="E67" s="1">
        <v>0</v>
      </c>
    </row>
    <row r="68" spans="1:5" x14ac:dyDescent="0.25">
      <c r="A68" s="1" t="s">
        <v>13</v>
      </c>
      <c r="B68" s="1">
        <f>0.659-0.72</f>
        <v>-6.0999999999999943E-2</v>
      </c>
      <c r="C68" s="1">
        <f>93.3-101.5</f>
        <v>-8.2000000000000028</v>
      </c>
      <c r="D68" s="1">
        <f>89.5-95</f>
        <v>-5.5</v>
      </c>
      <c r="E68" s="1">
        <v>1</v>
      </c>
    </row>
    <row r="69" spans="1:5" x14ac:dyDescent="0.25">
      <c r="A69" s="1" t="s">
        <v>25</v>
      </c>
      <c r="B69" s="1">
        <f>0.72-0.756</f>
        <v>-3.6000000000000032E-2</v>
      </c>
      <c r="C69" s="1">
        <f>96.2-110.4</f>
        <v>-14.200000000000003</v>
      </c>
      <c r="D69" s="1">
        <f>88.4-103.3</f>
        <v>-14.899999999999991</v>
      </c>
      <c r="E69" s="1">
        <v>1</v>
      </c>
    </row>
    <row r="70" spans="1:5" x14ac:dyDescent="0.25">
      <c r="A70" s="1" t="s">
        <v>2</v>
      </c>
      <c r="B70" s="1">
        <f>0.659-0.537</f>
        <v>0.122</v>
      </c>
      <c r="C70" s="1">
        <f>93.3-93</f>
        <v>0.29999999999999716</v>
      </c>
      <c r="D70" s="1">
        <f>89.5-92.2</f>
        <v>-2.7000000000000028</v>
      </c>
      <c r="E70" s="1">
        <v>0</v>
      </c>
    </row>
    <row r="71" spans="1:5" x14ac:dyDescent="0.25">
      <c r="A71" s="1" t="s">
        <v>19</v>
      </c>
      <c r="B71" s="1">
        <f>0.72-0.549</f>
        <v>0.17099999999999993</v>
      </c>
      <c r="C71" s="1">
        <f>101.5-100.5</f>
        <v>1</v>
      </c>
      <c r="D71" s="1">
        <f>95-100.8</f>
        <v>-5.7999999999999972</v>
      </c>
      <c r="E71" s="1">
        <v>4</v>
      </c>
    </row>
    <row r="72" spans="1:5" x14ac:dyDescent="0.25">
      <c r="A72" s="1" t="s">
        <v>2</v>
      </c>
      <c r="B72" s="1">
        <f>0.756-0.707</f>
        <v>4.9000000000000044E-2</v>
      </c>
      <c r="C72" s="1">
        <f>110.4-102.5</f>
        <v>7.9000000000000057</v>
      </c>
      <c r="D72" s="1">
        <f>103.3-96.8</f>
        <v>6.5</v>
      </c>
      <c r="E72" s="1">
        <v>2</v>
      </c>
    </row>
    <row r="73" spans="1:5" x14ac:dyDescent="0.25">
      <c r="A73" s="1" t="s">
        <v>2</v>
      </c>
      <c r="B73" s="1">
        <f>0.72-0.634</f>
        <v>8.5999999999999965E-2</v>
      </c>
      <c r="C73" s="1">
        <f>96.2-98.9</f>
        <v>-2.7000000000000028</v>
      </c>
      <c r="D73" s="1">
        <f>88.4-96.6</f>
        <v>-8.1999999999999886</v>
      </c>
      <c r="E73" s="1">
        <v>0</v>
      </c>
    </row>
    <row r="74" spans="1:5" x14ac:dyDescent="0.25">
      <c r="A74" s="1" t="s">
        <v>25</v>
      </c>
      <c r="B74" s="1">
        <f>0.659-0.524</f>
        <v>0.13500000000000001</v>
      </c>
      <c r="C74" s="1">
        <f>93.3-99.1</f>
        <v>-5.7999999999999972</v>
      </c>
      <c r="D74" s="1">
        <f>89.5-99.9</f>
        <v>-10.400000000000006</v>
      </c>
      <c r="E74" s="1">
        <v>2</v>
      </c>
    </row>
    <row r="75" spans="1:5" x14ac:dyDescent="0.25">
      <c r="A75" s="1" t="s">
        <v>13</v>
      </c>
      <c r="B75" s="1">
        <f>0.537-0.549</f>
        <v>-1.2000000000000011E-2</v>
      </c>
      <c r="C75" s="1">
        <f>93-101.3</f>
        <v>-8.2999999999999972</v>
      </c>
      <c r="D75" s="1">
        <f>92.2-100.4</f>
        <v>-8.2000000000000028</v>
      </c>
      <c r="E75" s="1">
        <v>1</v>
      </c>
    </row>
    <row r="76" spans="1:5" x14ac:dyDescent="0.25">
      <c r="A76" s="1" t="s">
        <v>19</v>
      </c>
      <c r="B76" s="1">
        <f>0.72-0.512</f>
        <v>0.20799999999999996</v>
      </c>
      <c r="C76" s="1">
        <f>101.5-91.4</f>
        <v>10.099999999999994</v>
      </c>
      <c r="D76" s="1">
        <f>95-92.9</f>
        <v>2.0999999999999943</v>
      </c>
      <c r="E76" s="1">
        <v>3</v>
      </c>
    </row>
    <row r="77" spans="1:5" x14ac:dyDescent="0.25">
      <c r="A77" s="1" t="s">
        <v>2</v>
      </c>
      <c r="B77" s="1">
        <f>0.549-0.573</f>
        <v>-2.399999999999991E-2</v>
      </c>
      <c r="C77" s="1">
        <f>100.5-94.5</f>
        <v>6</v>
      </c>
      <c r="D77" s="1">
        <f>100.8-93.4</f>
        <v>7.3999999999999915</v>
      </c>
      <c r="E77" s="1">
        <v>1</v>
      </c>
    </row>
    <row r="78" spans="1:5" x14ac:dyDescent="0.25">
      <c r="A78" s="1" t="s">
        <v>13</v>
      </c>
      <c r="B78" s="1">
        <f>0.707-0.622</f>
        <v>8.4999999999999964E-2</v>
      </c>
      <c r="C78" s="1">
        <f>102.5-95.1</f>
        <v>7.4000000000000057</v>
      </c>
      <c r="D78" s="1">
        <f>96.8-91</f>
        <v>5.7999999999999972</v>
      </c>
      <c r="E78" s="1">
        <v>0</v>
      </c>
    </row>
    <row r="79" spans="1:5" x14ac:dyDescent="0.25">
      <c r="A79" s="1" t="s">
        <v>19</v>
      </c>
      <c r="B79" s="1">
        <f>0.756-0.549</f>
        <v>0.20699999999999996</v>
      </c>
      <c r="C79" s="1">
        <f>110.4-93.4</f>
        <v>17</v>
      </c>
      <c r="D79" s="1">
        <f>103.3-91.1</f>
        <v>12.200000000000003</v>
      </c>
      <c r="E79" s="1">
        <v>0</v>
      </c>
    </row>
    <row r="80" spans="1:5" x14ac:dyDescent="0.25">
      <c r="A80" s="1" t="s">
        <v>25</v>
      </c>
      <c r="B80" s="1">
        <f>0.72-0.598</f>
        <v>0.122</v>
      </c>
      <c r="C80" s="1">
        <f>96.2-99.5</f>
        <v>-3.2999999999999972</v>
      </c>
      <c r="D80" s="1">
        <f>88.4-97.5</f>
        <v>-9.0999999999999943</v>
      </c>
      <c r="E80" s="1">
        <v>0</v>
      </c>
    </row>
    <row r="81" spans="1:5" x14ac:dyDescent="0.25">
      <c r="A81" s="1" t="s">
        <v>25</v>
      </c>
      <c r="B81" s="1">
        <f>0.634-0.61</f>
        <v>2.4000000000000021E-2</v>
      </c>
      <c r="C81" s="1">
        <f>98.9-103.7</f>
        <v>-4.7999999999999972</v>
      </c>
      <c r="D81" s="1">
        <f>96.6-101.6</f>
        <v>-5</v>
      </c>
      <c r="E81" s="1">
        <v>2</v>
      </c>
    </row>
    <row r="82" spans="1:5" x14ac:dyDescent="0.25">
      <c r="A82" s="1" t="s">
        <v>2</v>
      </c>
      <c r="B82" s="1">
        <f>0.634-0.732</f>
        <v>-9.7999999999999976E-2</v>
      </c>
      <c r="C82" s="1">
        <f>99.9-99.1</f>
        <v>0.80000000000001137</v>
      </c>
      <c r="D82" s="1">
        <f>96-93.1</f>
        <v>2.9000000000000057</v>
      </c>
      <c r="E82" s="1">
        <v>-2</v>
      </c>
    </row>
    <row r="83" spans="1:5" x14ac:dyDescent="0.25">
      <c r="A83" s="1" t="s">
        <v>2</v>
      </c>
      <c r="B83" s="1">
        <f>0.634-0.78</f>
        <v>-0.14600000000000002</v>
      </c>
      <c r="C83" s="1">
        <f>99.9-96.8</f>
        <v>3.1000000000000085</v>
      </c>
      <c r="D83" s="1">
        <f>96-90.2</f>
        <v>5.7999999999999972</v>
      </c>
      <c r="E83" s="1">
        <v>-2</v>
      </c>
    </row>
    <row r="84" spans="1:5" x14ac:dyDescent="0.25">
      <c r="A84" s="1" t="s">
        <v>2</v>
      </c>
      <c r="B84" s="1">
        <f>0.732-0.659</f>
        <v>7.2999999999999954E-2</v>
      </c>
      <c r="C84" s="1">
        <f>99.1-108.4</f>
        <v>-9.3000000000000114</v>
      </c>
      <c r="D84" s="1">
        <f>93.1-102.8</f>
        <v>-9.7000000000000028</v>
      </c>
      <c r="E84" s="1">
        <v>0</v>
      </c>
    </row>
    <row r="85" spans="1:5" x14ac:dyDescent="0.25">
      <c r="A85" s="1" t="s">
        <v>13</v>
      </c>
      <c r="B85" s="1">
        <f>0.78-0.61</f>
        <v>0.17000000000000004</v>
      </c>
      <c r="C85" s="1">
        <f>96.8-97.6</f>
        <v>-0.79999999999999716</v>
      </c>
      <c r="D85" s="1">
        <f>90.2-95.4</f>
        <v>-5.2000000000000028</v>
      </c>
      <c r="E85" s="1">
        <v>2</v>
      </c>
    </row>
    <row r="86" spans="1:5" x14ac:dyDescent="0.25">
      <c r="A86" s="1" t="s">
        <v>25</v>
      </c>
      <c r="B86" s="1">
        <f>0.634-0.598</f>
        <v>3.6000000000000032E-2</v>
      </c>
      <c r="C86" s="1">
        <f>99.9-93.8</f>
        <v>6.1000000000000085</v>
      </c>
      <c r="D86" s="1">
        <f>96-92.4</f>
        <v>3.5999999999999943</v>
      </c>
      <c r="E86" s="1">
        <v>-2</v>
      </c>
    </row>
    <row r="87" spans="1:5" x14ac:dyDescent="0.25">
      <c r="A87" s="1" t="s">
        <v>13</v>
      </c>
      <c r="B87" s="1">
        <f>0.732-0.768</f>
        <v>-3.6000000000000032E-2</v>
      </c>
      <c r="C87" s="1">
        <f>99.1-95.6</f>
        <v>3.5</v>
      </c>
      <c r="D87" s="1">
        <f>93.1-88.8</f>
        <v>4.2999999999999972</v>
      </c>
      <c r="E87" s="1">
        <v>0</v>
      </c>
    </row>
    <row r="88" spans="1:5" x14ac:dyDescent="0.25">
      <c r="A88" s="1" t="s">
        <v>13</v>
      </c>
      <c r="B88" s="1">
        <f>0.659-0.573</f>
        <v>8.6000000000000076E-2</v>
      </c>
      <c r="C88" s="1">
        <f>108.4-97.2</f>
        <v>11.200000000000003</v>
      </c>
      <c r="D88" s="1">
        <f>102.8-95.6</f>
        <v>7.2000000000000028</v>
      </c>
      <c r="E88" s="1">
        <v>0</v>
      </c>
    </row>
    <row r="89" spans="1:5" x14ac:dyDescent="0.25">
      <c r="A89" s="1" t="s">
        <v>2</v>
      </c>
      <c r="B89" s="1">
        <f>0.61-0.512</f>
        <v>9.7999999999999976E-2</v>
      </c>
      <c r="C89" s="1">
        <f>97.6-101.7</f>
        <v>-4.1000000000000085</v>
      </c>
      <c r="D89" s="1">
        <f>95.4-99.8</f>
        <v>-4.3999999999999915</v>
      </c>
      <c r="E89" s="1">
        <v>-2</v>
      </c>
    </row>
    <row r="90" spans="1:5" x14ac:dyDescent="0.25">
      <c r="A90" s="1" t="s">
        <v>25</v>
      </c>
      <c r="B90" s="1">
        <f>0.78-0.488</f>
        <v>0.29200000000000004</v>
      </c>
      <c r="C90" s="1">
        <f>96.8-97.8</f>
        <v>-1</v>
      </c>
      <c r="D90" s="1">
        <f>90.2-98.8</f>
        <v>-8.5999999999999943</v>
      </c>
      <c r="E90" s="1">
        <v>2</v>
      </c>
    </row>
    <row r="91" spans="1:5" x14ac:dyDescent="0.25">
      <c r="A91" s="1" t="s">
        <v>2</v>
      </c>
      <c r="B91" s="1">
        <f>0.634-0.5</f>
        <v>0.13400000000000001</v>
      </c>
      <c r="C91" s="1">
        <f>99.9-97.8</f>
        <v>2.1000000000000085</v>
      </c>
      <c r="D91" s="1">
        <f>96-97.2</f>
        <v>-1.2000000000000028</v>
      </c>
      <c r="E91" s="1">
        <v>1</v>
      </c>
    </row>
    <row r="92" spans="1:5" x14ac:dyDescent="0.25">
      <c r="A92" s="1" t="s">
        <v>2</v>
      </c>
      <c r="B92" s="1">
        <f>0.598-0.5</f>
        <v>9.7999999999999976E-2</v>
      </c>
      <c r="C92" s="1">
        <f>93.8-93.9</f>
        <v>-0.10000000000000853</v>
      </c>
      <c r="D92" s="1">
        <f>92.4-92</f>
        <v>0.40000000000000568</v>
      </c>
      <c r="E92" s="1">
        <v>-1</v>
      </c>
    </row>
    <row r="93" spans="1:5" x14ac:dyDescent="0.25">
      <c r="A93" s="1" t="s">
        <v>19</v>
      </c>
      <c r="B93" s="1">
        <f>0.732-0.598</f>
        <v>0.13400000000000001</v>
      </c>
      <c r="C93" s="1">
        <f>99.1-92.2</f>
        <v>6.8999999999999915</v>
      </c>
      <c r="D93" s="1">
        <f>93.1-88.5</f>
        <v>4.5999999999999943</v>
      </c>
      <c r="E93" s="1">
        <v>2</v>
      </c>
    </row>
    <row r="94" spans="1:5" x14ac:dyDescent="0.25">
      <c r="A94" s="1" t="s">
        <v>25</v>
      </c>
      <c r="B94" s="1">
        <f>0.573-0.537</f>
        <v>3.5999999999999921E-2</v>
      </c>
      <c r="C94" s="1">
        <f>97.2-100.3</f>
        <v>-3.0999999999999943</v>
      </c>
      <c r="D94" s="1">
        <f>95.6-100.1</f>
        <v>-4.5</v>
      </c>
      <c r="E94" s="1">
        <v>2</v>
      </c>
    </row>
    <row r="95" spans="1:5" x14ac:dyDescent="0.25">
      <c r="A95" s="1" t="s">
        <v>13</v>
      </c>
      <c r="B95" s="1">
        <f>0.659-0.549</f>
        <v>0.10999999999999999</v>
      </c>
      <c r="C95" s="1">
        <f>108.4-99.4</f>
        <v>9</v>
      </c>
      <c r="D95" s="1">
        <f>102.8-96.9</f>
        <v>5.8999999999999915</v>
      </c>
      <c r="E95" s="1">
        <v>2</v>
      </c>
    </row>
    <row r="96" spans="1:5" x14ac:dyDescent="0.25">
      <c r="A96" s="1" t="s">
        <v>2</v>
      </c>
      <c r="B96" s="1">
        <f>0.768-0.537</f>
        <v>0.23099999999999998</v>
      </c>
      <c r="C96" s="1">
        <f>95.6-98.9</f>
        <v>-3.3000000000000114</v>
      </c>
      <c r="D96" s="1">
        <f>88.8-97.3</f>
        <v>-8.5</v>
      </c>
      <c r="E96" s="1">
        <v>1</v>
      </c>
    </row>
    <row r="97" spans="1:5" x14ac:dyDescent="0.25">
      <c r="A97" s="1" t="s">
        <v>19</v>
      </c>
      <c r="B97" s="1">
        <f>0.707-0.61</f>
        <v>9.6999999999999975E-2</v>
      </c>
      <c r="C97" s="1">
        <f>98.5-96.8</f>
        <v>1.7000000000000028</v>
      </c>
      <c r="D97" s="1">
        <f>90.1-92.9</f>
        <v>-2.8000000000000114</v>
      </c>
      <c r="E97" s="1">
        <v>-2</v>
      </c>
    </row>
    <row r="98" spans="1:5" x14ac:dyDescent="0.25">
      <c r="A98" s="1" t="s">
        <v>2</v>
      </c>
      <c r="B98" s="1">
        <f>0.61-0.646</f>
        <v>-3.6000000000000032E-2</v>
      </c>
      <c r="C98" s="1">
        <f>96.8-96</f>
        <v>0.79999999999999716</v>
      </c>
      <c r="D98" s="1">
        <f>92.9-91.8</f>
        <v>1.1000000000000085</v>
      </c>
      <c r="E98" s="1">
        <v>-2</v>
      </c>
    </row>
    <row r="99" spans="1:5" x14ac:dyDescent="0.25">
      <c r="A99" s="1" t="s">
        <v>25</v>
      </c>
      <c r="B99" s="1">
        <f>0.707-0.622</f>
        <v>8.4999999999999964E-2</v>
      </c>
      <c r="C99" s="1">
        <f>98.5-101.5</f>
        <v>-3</v>
      </c>
      <c r="D99" s="1">
        <f>90.1-98.6</f>
        <v>-8.5</v>
      </c>
      <c r="E99" s="1">
        <v>0</v>
      </c>
    </row>
    <row r="100" spans="1:5" x14ac:dyDescent="0.25">
      <c r="A100" s="1" t="s">
        <v>2</v>
      </c>
      <c r="B100" s="1">
        <f>0.61-0.5</f>
        <v>0.10999999999999999</v>
      </c>
      <c r="C100" s="1">
        <f>96.8-97.6</f>
        <v>-0.79999999999999716</v>
      </c>
      <c r="D100" s="1">
        <f>92.9-98.3</f>
        <v>-5.3999999999999915</v>
      </c>
      <c r="E100" s="1">
        <v>1</v>
      </c>
    </row>
    <row r="101" spans="1:5" x14ac:dyDescent="0.25">
      <c r="A101" s="1" t="s">
        <v>2</v>
      </c>
      <c r="B101" s="1">
        <f>0.646-0.598</f>
        <v>4.8000000000000043E-2</v>
      </c>
      <c r="C101" s="1">
        <f>96-98.8</f>
        <v>-2.7999999999999972</v>
      </c>
      <c r="D101" s="1">
        <f>91.8-93.8</f>
        <v>-2</v>
      </c>
      <c r="E101" s="1">
        <v>-2</v>
      </c>
    </row>
    <row r="102" spans="1:5" x14ac:dyDescent="0.25">
      <c r="A102" s="1" t="s">
        <v>2</v>
      </c>
      <c r="B102" s="1">
        <f>0.707-0.744</f>
        <v>-3.7000000000000033E-2</v>
      </c>
      <c r="C102" s="1">
        <f>98.5-110.2</f>
        <v>-11.700000000000003</v>
      </c>
      <c r="D102" s="1">
        <f>90.1-102.9</f>
        <v>-12.800000000000011</v>
      </c>
      <c r="E102" s="1">
        <v>1</v>
      </c>
    </row>
    <row r="103" spans="1:5" x14ac:dyDescent="0.25">
      <c r="A103" s="1" t="s">
        <v>25</v>
      </c>
      <c r="B103" s="1">
        <f>0.622-0.512</f>
        <v>0.10999999999999999</v>
      </c>
      <c r="C103" s="1">
        <f>101.5-106.5</f>
        <v>-5</v>
      </c>
      <c r="D103" s="1">
        <f>98.6-106.9</f>
        <v>-8.3000000000000114</v>
      </c>
      <c r="E103" s="1">
        <v>0</v>
      </c>
    </row>
    <row r="104" spans="1:5" x14ac:dyDescent="0.25">
      <c r="A104" s="1" t="s">
        <v>19</v>
      </c>
      <c r="B104" s="1">
        <f>0.598-0.537</f>
        <v>6.0999999999999943E-2</v>
      </c>
      <c r="C104" s="1">
        <f>98.8-94.6</f>
        <v>4.2000000000000028</v>
      </c>
      <c r="D104" s="1">
        <f>93.8-95.5</f>
        <v>-1.7000000000000028</v>
      </c>
      <c r="E104" s="1">
        <v>2</v>
      </c>
    </row>
    <row r="105" spans="1:5" x14ac:dyDescent="0.25">
      <c r="A105" s="1" t="s">
        <v>19</v>
      </c>
      <c r="B105" s="1">
        <f>0.61-0.5</f>
        <v>0.10999999999999999</v>
      </c>
      <c r="C105" s="1">
        <f>96.8-104.3</f>
        <v>-7.5</v>
      </c>
      <c r="D105" s="1">
        <f>92.9-104.9</f>
        <v>-12</v>
      </c>
      <c r="E105" s="1">
        <v>1</v>
      </c>
    </row>
    <row r="106" spans="1:5" x14ac:dyDescent="0.25">
      <c r="A106" s="1" t="s">
        <v>19</v>
      </c>
      <c r="B106" s="1">
        <f>0.646-0.488</f>
        <v>0.15800000000000003</v>
      </c>
      <c r="C106" s="1">
        <f>96-94.8</f>
        <v>1.2000000000000028</v>
      </c>
      <c r="D106" s="1">
        <f>91.8-94</f>
        <v>-2.2000000000000028</v>
      </c>
      <c r="E106" s="1">
        <v>4</v>
      </c>
    </row>
    <row r="107" spans="1:5" x14ac:dyDescent="0.25">
      <c r="A107" s="1" t="s">
        <v>2</v>
      </c>
      <c r="B107" s="1">
        <f>0.5-0.573</f>
        <v>-7.2999999999999954E-2</v>
      </c>
      <c r="C107" s="1">
        <f>97.6-99.5</f>
        <v>-1.9000000000000057</v>
      </c>
      <c r="D107" s="1">
        <f>98.3-98.5</f>
        <v>-0.20000000000000284</v>
      </c>
      <c r="E107" s="1">
        <v>0</v>
      </c>
    </row>
    <row r="108" spans="1:5" x14ac:dyDescent="0.25">
      <c r="A108" s="1" t="s">
        <v>2</v>
      </c>
      <c r="B108" s="1">
        <f>0.512-0.817</f>
        <v>-0.30499999999999994</v>
      </c>
      <c r="C108" s="1">
        <f>106.5-100</f>
        <v>6.5</v>
      </c>
      <c r="D108" s="1">
        <f>106.9-92.8</f>
        <v>14.100000000000009</v>
      </c>
      <c r="E108" s="1">
        <v>3</v>
      </c>
    </row>
    <row r="109" spans="1:5" x14ac:dyDescent="0.25">
      <c r="A109" s="1" t="s">
        <v>25</v>
      </c>
      <c r="B109" s="1">
        <f>0.744-0.512</f>
        <v>0.23199999999999998</v>
      </c>
      <c r="C109" s="1">
        <f>110.2-103.3</f>
        <v>6.9000000000000057</v>
      </c>
      <c r="D109" s="1">
        <f>102.9-103.4</f>
        <v>-0.5</v>
      </c>
      <c r="E109" s="1">
        <v>2</v>
      </c>
    </row>
    <row r="110" spans="1:5" x14ac:dyDescent="0.25">
      <c r="A110" s="1" t="s">
        <v>25</v>
      </c>
      <c r="B110" s="1">
        <f>0.707-0.549</f>
        <v>0.15799999999999992</v>
      </c>
      <c r="C110" s="1">
        <f>98.5-105.4</f>
        <v>-6.9000000000000057</v>
      </c>
      <c r="D110" s="1">
        <f>90.1-103.7</f>
        <v>-13.600000000000009</v>
      </c>
      <c r="E110" s="1">
        <v>1</v>
      </c>
    </row>
    <row r="111" spans="1:5" x14ac:dyDescent="0.25">
      <c r="A111" s="1" t="s">
        <v>13</v>
      </c>
      <c r="B111" s="1">
        <f>0.622-0.634</f>
        <v>-1.2000000000000011E-2</v>
      </c>
      <c r="C111" s="1">
        <f>101.5-97</f>
        <v>4.5</v>
      </c>
      <c r="D111" s="1">
        <f>98.6-92.1</f>
        <v>6.5</v>
      </c>
      <c r="E111" s="1">
        <v>2</v>
      </c>
    </row>
    <row r="112" spans="1:5" x14ac:dyDescent="0.25">
      <c r="A112" s="1" t="s">
        <v>2</v>
      </c>
      <c r="B112" s="1">
        <f>0.805-0.695</f>
        <v>0.1100000000000001</v>
      </c>
      <c r="C112" s="1">
        <f>100.5-108.6</f>
        <v>-8.0999999999999943</v>
      </c>
      <c r="D112" s="1">
        <f>90.3-101.3</f>
        <v>-11</v>
      </c>
      <c r="E112" s="1">
        <v>2</v>
      </c>
    </row>
    <row r="113" spans="1:5" x14ac:dyDescent="0.25">
      <c r="A113" s="1" t="s">
        <v>2</v>
      </c>
      <c r="B113" s="1">
        <f>0.805-0.72</f>
        <v>8.5000000000000075E-2</v>
      </c>
      <c r="C113" s="1">
        <f>100.5-97.5</f>
        <v>3</v>
      </c>
      <c r="D113" s="1">
        <f>90.3-90.1</f>
        <v>0.20000000000000284</v>
      </c>
      <c r="E113" s="1">
        <v>1</v>
      </c>
    </row>
    <row r="114" spans="1:5" x14ac:dyDescent="0.25">
      <c r="A114" s="1" t="s">
        <v>25</v>
      </c>
      <c r="B114" s="1">
        <f>0.695-0.683</f>
        <v>1.19999999999999E-2</v>
      </c>
      <c r="C114" s="1">
        <f>108.6-95.4</f>
        <v>13.199999999999989</v>
      </c>
      <c r="D114" s="1">
        <f>101.3-90.6</f>
        <v>10.700000000000003</v>
      </c>
      <c r="E114" s="1">
        <v>0</v>
      </c>
    </row>
    <row r="115" spans="1:5" x14ac:dyDescent="0.25">
      <c r="A115" s="1" t="s">
        <v>13</v>
      </c>
      <c r="B115" s="1">
        <f>0.805-0.549</f>
        <v>0.25600000000000001</v>
      </c>
      <c r="C115" s="1">
        <f>100.5-96.4</f>
        <v>4.0999999999999943</v>
      </c>
      <c r="D115" s="1">
        <f>90.3-96.7</f>
        <v>-6.4000000000000057</v>
      </c>
      <c r="E115" s="1">
        <v>0</v>
      </c>
    </row>
    <row r="116" spans="1:5" x14ac:dyDescent="0.25">
      <c r="A116" s="1" t="s">
        <v>25</v>
      </c>
      <c r="B116" s="1">
        <f>0.72-0.634</f>
        <v>8.5999999999999965E-2</v>
      </c>
      <c r="C116" s="1">
        <f>97.5-104.5</f>
        <v>-7</v>
      </c>
      <c r="D116" s="1">
        <f>90.1-99</f>
        <v>-8.9000000000000057</v>
      </c>
      <c r="E116" s="1">
        <v>0</v>
      </c>
    </row>
    <row r="117" spans="1:5" x14ac:dyDescent="0.25">
      <c r="A117" s="1" t="s">
        <v>2</v>
      </c>
      <c r="B117" s="1">
        <f>0.695-0.659</f>
        <v>3.5999999999999921E-2</v>
      </c>
      <c r="C117" s="1">
        <f>108.6-106.2</f>
        <v>2.3999999999999915</v>
      </c>
      <c r="D117" s="1">
        <f>101.3-99.3</f>
        <v>2</v>
      </c>
      <c r="E117" s="1">
        <v>2</v>
      </c>
    </row>
    <row r="118" spans="1:5" x14ac:dyDescent="0.25">
      <c r="A118" s="1" t="s">
        <v>13</v>
      </c>
      <c r="B118" s="1">
        <f>0.683-0.683</f>
        <v>0</v>
      </c>
      <c r="C118" s="1">
        <f>95.4-100.9</f>
        <v>-5.5</v>
      </c>
      <c r="D118" s="1">
        <f>90.6-95.6</f>
        <v>-5</v>
      </c>
      <c r="E118" s="1">
        <v>0</v>
      </c>
    </row>
    <row r="119" spans="1:5" x14ac:dyDescent="0.25">
      <c r="A119" s="1" t="s">
        <v>13</v>
      </c>
      <c r="B119" s="1">
        <f>0.805-0.451</f>
        <v>0.35400000000000004</v>
      </c>
      <c r="C119" s="1">
        <f>100.5-98.2</f>
        <v>2.2999999999999972</v>
      </c>
      <c r="D119" s="1">
        <f>90.3-100</f>
        <v>-9.7000000000000028</v>
      </c>
      <c r="E119" s="1">
        <v>3</v>
      </c>
    </row>
    <row r="120" spans="1:5" x14ac:dyDescent="0.25">
      <c r="A120" s="1" t="s">
        <v>2</v>
      </c>
      <c r="B120" s="1">
        <f>0.549-0.524</f>
        <v>2.5000000000000022E-2</v>
      </c>
      <c r="C120" s="1">
        <f>96.4-98.8</f>
        <v>-2.3999999999999915</v>
      </c>
      <c r="D120" s="1">
        <f>96.7-99.2</f>
        <v>-2.5</v>
      </c>
      <c r="E120" s="1">
        <v>0</v>
      </c>
    </row>
    <row r="121" spans="1:5" x14ac:dyDescent="0.25">
      <c r="A121" s="1" t="s">
        <v>2</v>
      </c>
      <c r="B121" s="1">
        <f>0.72-0.488</f>
        <v>0.23199999999999998</v>
      </c>
      <c r="C121" s="1">
        <f>97.5-96.6</f>
        <v>0.90000000000000568</v>
      </c>
      <c r="D121" s="1">
        <f>90.1-96.2</f>
        <v>-6.1000000000000085</v>
      </c>
      <c r="E121" s="1">
        <v>0</v>
      </c>
    </row>
    <row r="122" spans="1:5" x14ac:dyDescent="0.25">
      <c r="A122" s="1" t="s">
        <v>25</v>
      </c>
      <c r="B122" s="1">
        <f>0.634-0.5</f>
        <v>0.13400000000000001</v>
      </c>
      <c r="C122" s="1">
        <f>104.5-100.2</f>
        <v>4.2999999999999972</v>
      </c>
      <c r="D122" s="1">
        <f>99-97.3</f>
        <v>1.7000000000000028</v>
      </c>
      <c r="E122" s="1">
        <v>1</v>
      </c>
    </row>
    <row r="123" spans="1:5" x14ac:dyDescent="0.25">
      <c r="A123" s="1" t="s">
        <v>19</v>
      </c>
      <c r="B123" s="1">
        <f>0.695-0.61</f>
        <v>8.4999999999999964E-2</v>
      </c>
      <c r="C123" s="1">
        <f>108.6-110.7</f>
        <v>-2.1000000000000085</v>
      </c>
      <c r="D123" s="1">
        <f>101.3-107</f>
        <v>-5.7000000000000028</v>
      </c>
      <c r="E123" s="1">
        <v>3</v>
      </c>
    </row>
    <row r="124" spans="1:5" x14ac:dyDescent="0.25">
      <c r="A124" s="1" t="s">
        <v>25</v>
      </c>
      <c r="B124" s="1">
        <f>0.683-0.622</f>
        <v>6.1000000000000054E-2</v>
      </c>
      <c r="C124" s="1">
        <f>100.9-100.4</f>
        <v>0.5</v>
      </c>
      <c r="D124" s="1">
        <f>95.6-95.9</f>
        <v>-0.30000000000001137</v>
      </c>
      <c r="E124" s="1">
        <v>0</v>
      </c>
    </row>
    <row r="125" spans="1:5" x14ac:dyDescent="0.25">
      <c r="A125" s="1" t="s">
        <v>25</v>
      </c>
      <c r="B125" s="1">
        <f>0.683-0.671</f>
        <v>1.2000000000000011E-2</v>
      </c>
      <c r="C125" s="1">
        <f>95.4-110.1</f>
        <v>-14.699999999999989</v>
      </c>
      <c r="D125" s="1">
        <f>90.6-105</f>
        <v>-14.400000000000006</v>
      </c>
      <c r="E125" s="1">
        <v>-2</v>
      </c>
    </row>
    <row r="126" spans="1:5" x14ac:dyDescent="0.25">
      <c r="A126" s="1" t="s">
        <v>2</v>
      </c>
      <c r="B126" s="1">
        <f>0.659-0.671</f>
        <v>-1.2000000000000011E-2</v>
      </c>
      <c r="C126" s="1">
        <f>106.2-96.7</f>
        <v>9.5</v>
      </c>
      <c r="D126" s="1">
        <f>99.3-92</f>
        <v>7.2999999999999972</v>
      </c>
      <c r="E126" s="1">
        <v>1</v>
      </c>
    </row>
    <row r="127" spans="1:5" x14ac:dyDescent="0.25">
      <c r="A127" s="1" t="s">
        <v>25</v>
      </c>
      <c r="B127" s="1">
        <f>0.793-0.72</f>
        <v>7.3000000000000065E-2</v>
      </c>
      <c r="C127" s="1">
        <f>106.9-101</f>
        <v>5.9000000000000057</v>
      </c>
      <c r="D127" s="1">
        <f>99.3-94.4</f>
        <v>4.8999999999999915</v>
      </c>
      <c r="E127" s="1">
        <v>-2</v>
      </c>
    </row>
    <row r="128" spans="1:5" x14ac:dyDescent="0.25">
      <c r="A128" s="1" t="s">
        <v>2</v>
      </c>
      <c r="B128" s="1">
        <f>0.72-0.805</f>
        <v>-8.5000000000000075E-2</v>
      </c>
      <c r="C128" s="1">
        <f>101-100.3</f>
        <v>0.70000000000000284</v>
      </c>
      <c r="D128" s="1">
        <f>94.4-91.4</f>
        <v>3</v>
      </c>
      <c r="E128" s="1">
        <v>1</v>
      </c>
    </row>
    <row r="129" spans="1:5" x14ac:dyDescent="0.25">
      <c r="A129" s="1" t="s">
        <v>2</v>
      </c>
      <c r="B129" s="1">
        <f>0.793-0.659</f>
        <v>0.13400000000000001</v>
      </c>
      <c r="C129" s="1">
        <f>106.9-104.3</f>
        <v>2.6000000000000085</v>
      </c>
      <c r="D129" s="1">
        <f>99.3-100.9</f>
        <v>-1.6000000000000085</v>
      </c>
      <c r="E129" s="1">
        <v>2</v>
      </c>
    </row>
    <row r="130" spans="1:5" x14ac:dyDescent="0.25">
      <c r="A130" s="1" t="s">
        <v>19</v>
      </c>
      <c r="B130" s="1">
        <f>0.805-0.573</f>
        <v>0.2320000000000001</v>
      </c>
      <c r="C130" s="1">
        <f>100.3-98.1</f>
        <v>2.2000000000000028</v>
      </c>
      <c r="D130" s="1">
        <f>91.4-96.5</f>
        <v>-5.0999999999999943</v>
      </c>
      <c r="E130" s="1">
        <v>2</v>
      </c>
    </row>
    <row r="131" spans="1:5" x14ac:dyDescent="0.25">
      <c r="A131" s="1" t="s">
        <v>13</v>
      </c>
      <c r="B131" s="1">
        <f>0.72-0.756</f>
        <v>-3.6000000000000032E-2</v>
      </c>
      <c r="C131" s="1">
        <f>101-100.9</f>
        <v>9.9999999999994316E-2</v>
      </c>
      <c r="D131" s="1">
        <f>94.4-93.4</f>
        <v>1</v>
      </c>
      <c r="E131" s="1">
        <v>0</v>
      </c>
    </row>
    <row r="132" spans="1:5" x14ac:dyDescent="0.25">
      <c r="A132" s="1" t="s">
        <v>25</v>
      </c>
      <c r="B132" s="1">
        <f>0.659-0.61</f>
        <v>4.9000000000000044E-2</v>
      </c>
      <c r="C132" s="1">
        <f>104.3-101.7</f>
        <v>2.5999999999999943</v>
      </c>
      <c r="D132" s="1">
        <f>100.9-99.8</f>
        <v>1.1000000000000085</v>
      </c>
      <c r="E132" s="1">
        <v>4</v>
      </c>
    </row>
    <row r="133" spans="1:5" x14ac:dyDescent="0.25">
      <c r="A133" s="1" t="s">
        <v>13</v>
      </c>
      <c r="B133" s="1">
        <f>0.793-0.646</f>
        <v>0.14700000000000002</v>
      </c>
      <c r="C133" s="1">
        <f>106.9-98.4</f>
        <v>8.5</v>
      </c>
      <c r="D133" s="1">
        <f>99.3-94.4</f>
        <v>4.8999999999999915</v>
      </c>
      <c r="E133" s="1">
        <v>4</v>
      </c>
    </row>
    <row r="134" spans="1:5" x14ac:dyDescent="0.25">
      <c r="A134" s="1" t="s">
        <v>13</v>
      </c>
      <c r="B134" s="1">
        <f>0.573-0.524</f>
        <v>4.8999999999999932E-2</v>
      </c>
      <c r="C134" s="1">
        <f>98.1-98.3</f>
        <v>-0.20000000000000284</v>
      </c>
      <c r="D134" s="1">
        <f>96.5-98</f>
        <v>-1.5</v>
      </c>
      <c r="E134" s="1">
        <v>2</v>
      </c>
    </row>
    <row r="135" spans="1:5" x14ac:dyDescent="0.25">
      <c r="A135" s="1" t="s">
        <v>13</v>
      </c>
      <c r="B135" s="1">
        <f>0.756-0.5</f>
        <v>0.25600000000000001</v>
      </c>
      <c r="C135" s="1">
        <f>100.9-102.2</f>
        <v>-1.2999999999999972</v>
      </c>
      <c r="D135" s="1">
        <f>93.4-102.5</f>
        <v>-9.0999999999999943</v>
      </c>
      <c r="E135" s="1">
        <v>1</v>
      </c>
    </row>
    <row r="136" spans="1:5" x14ac:dyDescent="0.25">
      <c r="A136" s="1" t="s">
        <v>19</v>
      </c>
      <c r="B136" s="1">
        <f>0.805-0.476</f>
        <v>0.32900000000000007</v>
      </c>
      <c r="C136" s="1">
        <f>100.3-94.2</f>
        <v>6.0999999999999943</v>
      </c>
      <c r="D136" s="1">
        <f>91.4-94.7</f>
        <v>-3.2999999999999972</v>
      </c>
      <c r="E136" s="1">
        <v>2</v>
      </c>
    </row>
    <row r="137" spans="1:5" x14ac:dyDescent="0.25">
      <c r="A137" s="1" t="s">
        <v>2</v>
      </c>
      <c r="B137" s="1">
        <f>0.72-0.5</f>
        <v>0.21999999999999997</v>
      </c>
      <c r="C137" s="1">
        <f>101-97.4</f>
        <v>3.5999999999999943</v>
      </c>
      <c r="D137" s="1">
        <f>94.4-97.3</f>
        <v>-2.8999999999999915</v>
      </c>
      <c r="E137" s="1">
        <v>3</v>
      </c>
    </row>
    <row r="138" spans="1:5" x14ac:dyDescent="0.25">
      <c r="A138" s="1" t="s">
        <v>25</v>
      </c>
      <c r="B138" s="1">
        <f>0.61-0.659</f>
        <v>-4.9000000000000044E-2</v>
      </c>
      <c r="C138" s="1">
        <f>101.7-97</f>
        <v>4.7000000000000028</v>
      </c>
      <c r="D138" s="1">
        <f>99.8-93.3</f>
        <v>6.5</v>
      </c>
      <c r="E138" s="1">
        <v>0</v>
      </c>
    </row>
    <row r="139" spans="1:5" x14ac:dyDescent="0.25">
      <c r="A139" s="1" t="s">
        <v>25</v>
      </c>
      <c r="B139" s="1">
        <f>0.659-0.598</f>
        <v>6.1000000000000054E-2</v>
      </c>
      <c r="C139" s="1">
        <f>104.3-95.8</f>
        <v>8.5</v>
      </c>
      <c r="D139" s="1">
        <f>100.9-94.3</f>
        <v>6.6000000000000085</v>
      </c>
      <c r="E139" s="1">
        <v>0</v>
      </c>
    </row>
    <row r="140" spans="1:5" x14ac:dyDescent="0.25">
      <c r="A140" s="1" t="s">
        <v>2</v>
      </c>
      <c r="B140" s="1">
        <f>0.646-0.659</f>
        <v>-1.3000000000000012E-2</v>
      </c>
      <c r="C140" s="1">
        <f>98.4-99.4</f>
        <v>-1</v>
      </c>
      <c r="D140" s="1">
        <f>94.4-94.1</f>
        <v>0.30000000000001137</v>
      </c>
      <c r="E140" s="1">
        <v>1</v>
      </c>
    </row>
    <row r="141" spans="1:5" x14ac:dyDescent="0.25">
      <c r="A141" s="1" t="s">
        <v>25</v>
      </c>
      <c r="B141" s="1">
        <f>0.793-0.585</f>
        <v>0.20800000000000007</v>
      </c>
      <c r="C141" s="1">
        <f>106.9-103.6</f>
        <v>3.3000000000000114</v>
      </c>
      <c r="D141" s="1">
        <f>99.3-100.9</f>
        <v>-1.6000000000000085</v>
      </c>
      <c r="E141" s="1">
        <v>1</v>
      </c>
    </row>
    <row r="142" spans="1:5" x14ac:dyDescent="0.25">
      <c r="A142" s="1" t="s">
        <v>13</v>
      </c>
      <c r="B142" s="1">
        <f>0.695-0.61</f>
        <v>8.4999999999999964E-2</v>
      </c>
      <c r="C142" s="1">
        <f>101.7-99.2</f>
        <v>2.5</v>
      </c>
      <c r="D142" s="1">
        <f>97-95.6</f>
        <v>1.4000000000000057</v>
      </c>
      <c r="E142" s="1">
        <v>0</v>
      </c>
    </row>
    <row r="143" spans="1:5" x14ac:dyDescent="0.25">
      <c r="A143" s="1" t="s">
        <v>2</v>
      </c>
      <c r="B143" s="1">
        <f>0.61-0.72</f>
        <v>-0.10999999999999999</v>
      </c>
      <c r="C143" s="1">
        <f>99.2-102.8</f>
        <v>-3.5999999999999943</v>
      </c>
      <c r="D143" s="1">
        <f>95.6-95.3</f>
        <v>0.29999999999999716</v>
      </c>
      <c r="E143" s="1">
        <v>-2</v>
      </c>
    </row>
    <row r="144" spans="1:5" x14ac:dyDescent="0.25">
      <c r="A144" s="1" t="s">
        <v>2</v>
      </c>
      <c r="B144" s="1">
        <f>0.695-0.659</f>
        <v>3.5999999999999921E-2</v>
      </c>
      <c r="C144" s="1">
        <f>101.7-110.2</f>
        <v>-8.5</v>
      </c>
      <c r="D144" s="1">
        <f>97-105.3</f>
        <v>-8.2999999999999972</v>
      </c>
      <c r="E144" s="1">
        <v>2</v>
      </c>
    </row>
    <row r="145" spans="1:5" x14ac:dyDescent="0.25">
      <c r="A145" s="1" t="s">
        <v>2</v>
      </c>
      <c r="B145" s="1">
        <f>0.61-0.744</f>
        <v>-0.13400000000000001</v>
      </c>
      <c r="C145" s="1">
        <f>99.2-102.1</f>
        <v>-2.8999999999999915</v>
      </c>
      <c r="D145" s="1">
        <f>95.6-95.6</f>
        <v>0</v>
      </c>
      <c r="E145" s="1">
        <v>0</v>
      </c>
    </row>
    <row r="146" spans="1:5" x14ac:dyDescent="0.25">
      <c r="A146" s="1" t="s">
        <v>19</v>
      </c>
      <c r="B146" s="1">
        <f>0.72-0.646</f>
        <v>7.3999999999999955E-2</v>
      </c>
      <c r="C146" s="1">
        <f>102.8-101.7</f>
        <v>1.0999999999999943</v>
      </c>
      <c r="D146" s="1">
        <f>95.3-97</f>
        <v>-1.7000000000000028</v>
      </c>
      <c r="E146" s="1">
        <v>2</v>
      </c>
    </row>
    <row r="147" spans="1:5" x14ac:dyDescent="0.25">
      <c r="A147" s="1" t="s">
        <v>19</v>
      </c>
      <c r="B147" s="1">
        <f>0.695-0.646</f>
        <v>4.8999999999999932E-2</v>
      </c>
      <c r="C147" s="1">
        <f>101.7-104.2</f>
        <v>-2.5</v>
      </c>
      <c r="D147" s="1">
        <f>97-98.9</f>
        <v>-1.9000000000000057</v>
      </c>
      <c r="E147" s="1">
        <v>2</v>
      </c>
    </row>
    <row r="148" spans="1:5" x14ac:dyDescent="0.25">
      <c r="A148" s="1" t="s">
        <v>19</v>
      </c>
      <c r="B148" s="1">
        <f>0.659-0.61</f>
        <v>4.9000000000000044E-2</v>
      </c>
      <c r="C148" s="1">
        <f>110.2-101.4</f>
        <v>8.7999999999999972</v>
      </c>
      <c r="D148" s="1">
        <f>105.3-96.3</f>
        <v>9</v>
      </c>
      <c r="E148" s="1">
        <v>1</v>
      </c>
    </row>
    <row r="149" spans="1:5" x14ac:dyDescent="0.25">
      <c r="A149" s="1" t="s">
        <v>13</v>
      </c>
      <c r="B149" s="1">
        <f>0.646-0.561</f>
        <v>8.4999999999999964E-2</v>
      </c>
      <c r="C149" s="1">
        <f>101.7-97.7</f>
        <v>4</v>
      </c>
      <c r="D149" s="1">
        <f>97-96</f>
        <v>1</v>
      </c>
      <c r="E149" s="1">
        <v>1</v>
      </c>
    </row>
    <row r="150" spans="1:5" x14ac:dyDescent="0.25">
      <c r="A150" s="1" t="s">
        <v>25</v>
      </c>
      <c r="B150" s="1">
        <f>0.61-0.573</f>
        <v>3.7000000000000033E-2</v>
      </c>
      <c r="C150" s="1">
        <f>99.2-96.5</f>
        <v>2.7000000000000028</v>
      </c>
      <c r="D150" s="1">
        <f>95.6-94.2</f>
        <v>1.3999999999999915</v>
      </c>
      <c r="E150" s="1">
        <v>3</v>
      </c>
    </row>
    <row r="151" spans="1:5" x14ac:dyDescent="0.25">
      <c r="A151" s="1" t="s">
        <v>25</v>
      </c>
      <c r="B151" s="1">
        <f>0.744-0.5</f>
        <v>0.24399999999999999</v>
      </c>
      <c r="C151" s="1">
        <f>102.1-97.5</f>
        <v>4.5999999999999943</v>
      </c>
      <c r="D151" s="1">
        <f>95.6-99.1</f>
        <v>-3.5</v>
      </c>
      <c r="E151" s="1">
        <v>0</v>
      </c>
    </row>
    <row r="152" spans="1:5" x14ac:dyDescent="0.25">
      <c r="A152" s="1" t="s">
        <v>19</v>
      </c>
      <c r="B152" s="1">
        <f>0.72-0.537</f>
        <v>0.18299999999999994</v>
      </c>
      <c r="C152" s="1">
        <f>102.8-95.3</f>
        <v>7.5</v>
      </c>
      <c r="D152" s="1">
        <f>95.3-93.8</f>
        <v>1.5</v>
      </c>
      <c r="E152" s="1">
        <v>2</v>
      </c>
    </row>
    <row r="153" spans="1:5" x14ac:dyDescent="0.25">
      <c r="A153" s="1" t="s">
        <v>2</v>
      </c>
      <c r="B153" s="1">
        <f>0.695-0.61</f>
        <v>8.4999999999999964E-2</v>
      </c>
      <c r="C153" s="1">
        <f>101.7-101.5</f>
        <v>0.20000000000000284</v>
      </c>
      <c r="D153" s="1">
        <f>97-98</f>
        <v>-1</v>
      </c>
      <c r="E153" s="1">
        <v>2</v>
      </c>
    </row>
    <row r="154" spans="1:5" x14ac:dyDescent="0.25">
      <c r="A154" s="1" t="s">
        <v>2</v>
      </c>
      <c r="B154" s="1">
        <f>0.659-0.61</f>
        <v>4.9000000000000044E-2</v>
      </c>
      <c r="C154" s="1">
        <f>110.2-98.1</f>
        <v>12.100000000000009</v>
      </c>
      <c r="D154" s="1">
        <f>105.3-94.8</f>
        <v>10.5</v>
      </c>
      <c r="E154" s="1">
        <v>-1</v>
      </c>
    </row>
    <row r="155" spans="1:5" x14ac:dyDescent="0.25">
      <c r="A155" s="1" t="s">
        <v>2</v>
      </c>
      <c r="B155" s="1">
        <f>0.61-0.671</f>
        <v>-6.1000000000000054E-2</v>
      </c>
      <c r="C155" s="1">
        <f>101.4-102</f>
        <v>-0.59999999999999432</v>
      </c>
      <c r="D155" s="1">
        <f>96.3-99.3</f>
        <v>-3</v>
      </c>
      <c r="E155" s="1">
        <v>-2</v>
      </c>
    </row>
    <row r="156" spans="1:5" x14ac:dyDescent="0.25">
      <c r="A156" s="1" t="s">
        <v>2</v>
      </c>
      <c r="B156" s="1">
        <f>0.646-0.646</f>
        <v>0</v>
      </c>
      <c r="C156" s="1">
        <f>104.2-106.5</f>
        <v>-2.2999999999999972</v>
      </c>
      <c r="D156" s="1">
        <f>98.9-102.4</f>
        <v>-3.5</v>
      </c>
      <c r="E156" s="1">
        <v>-2</v>
      </c>
    </row>
    <row r="157" spans="1:5" x14ac:dyDescent="0.25">
      <c r="A157" s="1" t="s">
        <v>2</v>
      </c>
      <c r="B157" s="1">
        <f>0.695-0.707</f>
        <v>-1.2000000000000011E-2</v>
      </c>
      <c r="C157" s="1">
        <f>100.2-102.1</f>
        <v>-1.8999999999999915</v>
      </c>
      <c r="D157" s="1">
        <f>96-94.6</f>
        <v>1.4000000000000057</v>
      </c>
      <c r="E157" s="1">
        <v>2</v>
      </c>
    </row>
    <row r="158" spans="1:5" x14ac:dyDescent="0.25">
      <c r="A158" s="1" t="s">
        <v>25</v>
      </c>
      <c r="B158" s="1">
        <f>0.707-0.756</f>
        <v>-4.9000000000000044E-2</v>
      </c>
      <c r="C158" s="1">
        <f>102.1-98.6</f>
        <v>3.5</v>
      </c>
      <c r="D158" s="1">
        <f>94.6-91.3</f>
        <v>3.2999999999999972</v>
      </c>
      <c r="E158" s="1">
        <v>-3</v>
      </c>
    </row>
    <row r="159" spans="1:5" x14ac:dyDescent="0.25">
      <c r="A159" s="1" t="s">
        <v>25</v>
      </c>
      <c r="B159" s="1">
        <f>0.695-0.671</f>
        <v>2.399999999999991E-2</v>
      </c>
      <c r="C159" s="1">
        <f>100.2-104.8</f>
        <v>-4.5999999999999943</v>
      </c>
      <c r="D159" s="1">
        <f>96-101</f>
        <v>-5</v>
      </c>
      <c r="E159" s="1">
        <v>1</v>
      </c>
    </row>
    <row r="160" spans="1:5" x14ac:dyDescent="0.25">
      <c r="A160" s="1" t="s">
        <v>2</v>
      </c>
      <c r="B160" s="1">
        <f>0.756-0.537</f>
        <v>0.21899999999999997</v>
      </c>
      <c r="C160" s="1">
        <f>98.6-95</f>
        <v>3.5999999999999943</v>
      </c>
      <c r="D160" s="1">
        <f>91.3-95.8</f>
        <v>-4.5</v>
      </c>
      <c r="E160" s="1">
        <v>1</v>
      </c>
    </row>
    <row r="161" spans="1:5" x14ac:dyDescent="0.25">
      <c r="A161" s="1" t="s">
        <v>25</v>
      </c>
      <c r="B161" s="1">
        <f>0.707-0.683</f>
        <v>2.399999999999991E-2</v>
      </c>
      <c r="C161" s="1">
        <f>102.1-96.5</f>
        <v>5.5999999999999943</v>
      </c>
      <c r="D161" s="1">
        <f>94.6-91.1</f>
        <v>3.5</v>
      </c>
      <c r="E161" s="1">
        <v>-2</v>
      </c>
    </row>
    <row r="162" spans="1:5" x14ac:dyDescent="0.25">
      <c r="A162" s="1" t="s">
        <v>19</v>
      </c>
      <c r="B162" s="1">
        <f>0.695-0.695</f>
        <v>0</v>
      </c>
      <c r="C162" s="1">
        <f>100.2-101.5</f>
        <v>-1.2999999999999972</v>
      </c>
      <c r="D162" s="1">
        <f>96-95.4</f>
        <v>0.59999999999999432</v>
      </c>
      <c r="E162" s="1">
        <v>-1</v>
      </c>
    </row>
    <row r="163" spans="1:5" x14ac:dyDescent="0.25">
      <c r="A163" s="1" t="s">
        <v>13</v>
      </c>
      <c r="B163" s="1">
        <f>0.671-0.561</f>
        <v>0.10999999999999999</v>
      </c>
      <c r="C163" s="1">
        <f>104.8-99.9</f>
        <v>4.8999999999999915</v>
      </c>
      <c r="D163" s="1">
        <f>101-97.6</f>
        <v>3.4000000000000057</v>
      </c>
      <c r="E163" s="1">
        <v>-2</v>
      </c>
    </row>
    <row r="164" spans="1:5" x14ac:dyDescent="0.25">
      <c r="A164" s="1" t="s">
        <v>2</v>
      </c>
      <c r="B164" s="1">
        <f>0.537-0.634</f>
        <v>-9.6999999999999975E-2</v>
      </c>
      <c r="C164" s="1">
        <f>95-99.2</f>
        <v>-4.2000000000000028</v>
      </c>
      <c r="D164" s="1">
        <f>95.8-93.7</f>
        <v>2.0999999999999943</v>
      </c>
      <c r="E164" s="1">
        <v>2</v>
      </c>
    </row>
    <row r="165" spans="1:5" x14ac:dyDescent="0.25">
      <c r="A165" s="1" t="s">
        <v>19</v>
      </c>
      <c r="B165" s="1">
        <f>0.683-0.512</f>
        <v>0.17100000000000004</v>
      </c>
      <c r="C165" s="1">
        <f>96.5-106.5</f>
        <v>-10</v>
      </c>
      <c r="D165" s="1">
        <f>91.1-105.7</f>
        <v>-14.600000000000009</v>
      </c>
      <c r="E165" s="1">
        <v>4</v>
      </c>
    </row>
    <row r="166" spans="1:5" x14ac:dyDescent="0.25">
      <c r="A166" s="1" t="s">
        <v>25</v>
      </c>
      <c r="B166" s="1">
        <f>0.756-0.451</f>
        <v>0.30499999999999999</v>
      </c>
      <c r="C166" s="1">
        <f>98.6-99.8</f>
        <v>-1.2000000000000028</v>
      </c>
      <c r="D166" s="1">
        <f>91.3-100.9</f>
        <v>-9.6000000000000085</v>
      </c>
      <c r="E166" s="1">
        <v>2</v>
      </c>
    </row>
    <row r="167" spans="1:5" x14ac:dyDescent="0.25">
      <c r="A167" s="1" t="s">
        <v>25</v>
      </c>
      <c r="B167" s="1">
        <f>0.707-0.5</f>
        <v>0.20699999999999996</v>
      </c>
      <c r="C167" s="1">
        <f>102.1-99</f>
        <v>3.0999999999999943</v>
      </c>
      <c r="D167" s="1">
        <f>94.6-97.5</f>
        <v>-2.9000000000000057</v>
      </c>
      <c r="E167" s="1">
        <v>3</v>
      </c>
    </row>
    <row r="168" spans="1:5" x14ac:dyDescent="0.25">
      <c r="A168" s="1" t="s">
        <v>2</v>
      </c>
      <c r="B168" s="1">
        <f>0.695-0.585</f>
        <v>0.10999999999999999</v>
      </c>
      <c r="C168" s="1">
        <f>100.2-96.3</f>
        <v>3.9000000000000057</v>
      </c>
      <c r="D168" s="1">
        <f>96-94.8</f>
        <v>1.2000000000000028</v>
      </c>
      <c r="E168" s="1">
        <v>0</v>
      </c>
    </row>
    <row r="169" spans="1:5" x14ac:dyDescent="0.25">
      <c r="A169" s="1" t="s">
        <v>2</v>
      </c>
      <c r="B169" s="1">
        <f>0.695-0.561</f>
        <v>0.1339999999999999</v>
      </c>
      <c r="C169" s="1">
        <f>101.5-94.9</f>
        <v>6.5999999999999943</v>
      </c>
      <c r="D169" s="1">
        <f>95.4-94</f>
        <v>1.4000000000000057</v>
      </c>
      <c r="E169" s="1">
        <v>4</v>
      </c>
    </row>
    <row r="170" spans="1:5" x14ac:dyDescent="0.25">
      <c r="A170" s="1" t="s">
        <v>2</v>
      </c>
      <c r="B170" s="1">
        <f>0.561-0.744</f>
        <v>-0.18299999999999994</v>
      </c>
      <c r="C170" s="1">
        <f>99.9-103.7</f>
        <v>-3.7999999999999972</v>
      </c>
      <c r="D170" s="1">
        <f>97.6-98</f>
        <v>-0.40000000000000568</v>
      </c>
      <c r="E170" s="1">
        <v>0</v>
      </c>
    </row>
    <row r="171" spans="1:5" x14ac:dyDescent="0.25">
      <c r="A171" s="1" t="s">
        <v>25</v>
      </c>
      <c r="B171" s="1">
        <f>0.671-0.61</f>
        <v>6.1000000000000054E-2</v>
      </c>
      <c r="C171" s="1">
        <f>104.8-107.5</f>
        <v>-2.7000000000000028</v>
      </c>
      <c r="D171" s="1">
        <f>101-102.7</f>
        <v>-1.7000000000000028</v>
      </c>
      <c r="E171" s="1">
        <v>2</v>
      </c>
    </row>
    <row r="172" spans="1:5" x14ac:dyDescent="0.25">
      <c r="A172" s="1" t="s">
        <v>25</v>
      </c>
      <c r="B172" s="1">
        <f>0.697-0.712</f>
        <v>-1.5000000000000013E-2</v>
      </c>
      <c r="C172" s="1">
        <f>98.5-103.1</f>
        <v>-4.5999999999999943</v>
      </c>
      <c r="D172" s="1">
        <f>92.5-96.9</f>
        <v>-4.4000000000000057</v>
      </c>
      <c r="E172" s="1">
        <v>0</v>
      </c>
    </row>
    <row r="173" spans="1:5" x14ac:dyDescent="0.25">
      <c r="A173" s="1" t="s">
        <v>13</v>
      </c>
      <c r="B173" s="1">
        <f>0.697-0.591</f>
        <v>0.10599999999999998</v>
      </c>
      <c r="C173" s="1">
        <f>98.5-91.8</f>
        <v>6.7000000000000028</v>
      </c>
      <c r="D173" s="1">
        <f>92.5-89.3</f>
        <v>3.2000000000000028</v>
      </c>
      <c r="E173" s="1">
        <v>-2</v>
      </c>
    </row>
    <row r="174" spans="1:5" x14ac:dyDescent="0.25">
      <c r="A174" s="1" t="s">
        <v>2</v>
      </c>
      <c r="B174" s="1">
        <f>0.712-0.758</f>
        <v>-4.6000000000000041E-2</v>
      </c>
      <c r="C174" s="1">
        <f>103.1-103.7</f>
        <v>-0.60000000000000853</v>
      </c>
      <c r="D174" s="1">
        <f>96.9-96.5</f>
        <v>0.40000000000000568</v>
      </c>
      <c r="E174" s="1">
        <v>-1</v>
      </c>
    </row>
    <row r="175" spans="1:5" x14ac:dyDescent="0.25">
      <c r="A175" s="1" t="s">
        <v>13</v>
      </c>
      <c r="B175" s="1">
        <f>0.591-0.53</f>
        <v>6.0999999999999943E-2</v>
      </c>
      <c r="C175" s="1">
        <f>91.8-93.6</f>
        <v>-1.7999999999999972</v>
      </c>
      <c r="D175" s="1">
        <f>89.3-89.4</f>
        <v>-0.10000000000000853</v>
      </c>
      <c r="E175" s="1">
        <v>-1</v>
      </c>
    </row>
    <row r="176" spans="1:5" x14ac:dyDescent="0.25">
      <c r="A176" s="1" t="s">
        <v>2</v>
      </c>
      <c r="B176" s="1">
        <f>0.697-0.636</f>
        <v>6.0999999999999943E-2</v>
      </c>
      <c r="C176" s="1">
        <f>98.5-97.7</f>
        <v>0.79999999999999716</v>
      </c>
      <c r="D176" s="1">
        <f>92.5-94.4</f>
        <v>-1.9000000000000057</v>
      </c>
      <c r="E176" s="1">
        <v>2</v>
      </c>
    </row>
    <row r="177" spans="1:5" x14ac:dyDescent="0.25">
      <c r="A177" s="1" t="s">
        <v>25</v>
      </c>
      <c r="B177" s="1">
        <f>0.712-0.621</f>
        <v>9.099999999999997E-2</v>
      </c>
      <c r="C177" s="1">
        <f>103.1-97.3</f>
        <v>5.7999999999999972</v>
      </c>
      <c r="D177" s="1">
        <f>96.9-95.9</f>
        <v>1</v>
      </c>
      <c r="E177" s="1">
        <v>1</v>
      </c>
    </row>
    <row r="178" spans="1:5" x14ac:dyDescent="0.25">
      <c r="A178" s="1" t="s">
        <v>19</v>
      </c>
      <c r="B178" s="1">
        <f>0.758-0.606</f>
        <v>0.15200000000000002</v>
      </c>
      <c r="C178" s="1">
        <f>103.7-97.5</f>
        <v>6.2000000000000028</v>
      </c>
      <c r="D178" s="1">
        <f>96.5-95</f>
        <v>1.5</v>
      </c>
      <c r="E178" s="1">
        <v>1</v>
      </c>
    </row>
    <row r="179" spans="1:5" x14ac:dyDescent="0.25">
      <c r="A179" s="1" t="s">
        <v>2</v>
      </c>
      <c r="B179" s="1">
        <f>0.591-0.606</f>
        <v>-1.5000000000000013E-2</v>
      </c>
      <c r="C179" s="1">
        <f>91.8-96.6</f>
        <v>-4.7999999999999972</v>
      </c>
      <c r="D179" s="1">
        <f>89.3-93.2</f>
        <v>-3.9000000000000057</v>
      </c>
      <c r="E179" s="1">
        <v>1</v>
      </c>
    </row>
    <row r="180" spans="1:5" x14ac:dyDescent="0.25">
      <c r="A180" s="1" t="s">
        <v>25</v>
      </c>
      <c r="B180" s="1">
        <f>0.636-0.561</f>
        <v>7.4999999999999956E-2</v>
      </c>
      <c r="C180" s="1">
        <f>97.7-94.2</f>
        <v>3.5</v>
      </c>
      <c r="D180" s="1">
        <f>94.4-93.4</f>
        <v>1</v>
      </c>
      <c r="E180" s="1">
        <v>-2</v>
      </c>
    </row>
    <row r="181" spans="1:5" x14ac:dyDescent="0.25">
      <c r="A181" s="1" t="s">
        <v>25</v>
      </c>
      <c r="B181" s="1">
        <f>0.697-0.545</f>
        <v>0.15199999999999991</v>
      </c>
      <c r="C181" s="1">
        <f>98.5-97.8</f>
        <v>0.70000000000000284</v>
      </c>
      <c r="D181" s="1">
        <f>92.5-94.7</f>
        <v>-2.2000000000000028</v>
      </c>
      <c r="E181" s="1">
        <v>3</v>
      </c>
    </row>
    <row r="182" spans="1:5" x14ac:dyDescent="0.25">
      <c r="A182" s="1" t="s">
        <v>2</v>
      </c>
      <c r="B182" s="1">
        <f>0.53-0.758</f>
        <v>-0.22799999999999998</v>
      </c>
      <c r="C182" s="1">
        <f>93.6-96.3</f>
        <v>-2.7000000000000028</v>
      </c>
      <c r="D182" s="1">
        <f>89.4-88.2</f>
        <v>1.2000000000000028</v>
      </c>
      <c r="E182" s="1">
        <v>-1</v>
      </c>
    </row>
    <row r="183" spans="1:5" x14ac:dyDescent="0.25">
      <c r="A183" s="1" t="s">
        <v>13</v>
      </c>
      <c r="B183" s="1">
        <f>0.606-0.621</f>
        <v>-1.5000000000000013E-2</v>
      </c>
      <c r="C183" s="1">
        <f>97.5-95</f>
        <v>2.5</v>
      </c>
      <c r="D183" s="1">
        <f>95-93</f>
        <v>2</v>
      </c>
      <c r="E183" s="1">
        <v>1</v>
      </c>
    </row>
    <row r="184" spans="1:5" x14ac:dyDescent="0.25">
      <c r="A184" s="1" t="s">
        <v>13</v>
      </c>
      <c r="B184" s="1">
        <f>0.621-0.576</f>
        <v>4.500000000000004E-2</v>
      </c>
      <c r="C184" s="1">
        <f>97.3-104.1</f>
        <v>-6.7999999999999972</v>
      </c>
      <c r="D184" s="1">
        <f>95.9-101.2</f>
        <v>-5.2999999999999972</v>
      </c>
      <c r="E184" s="1">
        <v>2</v>
      </c>
    </row>
    <row r="185" spans="1:5" x14ac:dyDescent="0.25">
      <c r="A185" s="1" t="s">
        <v>19</v>
      </c>
      <c r="B185" s="1">
        <f>0.712-0.545</f>
        <v>0.16699999999999993</v>
      </c>
      <c r="C185" s="1">
        <f>103.1-95.8</f>
        <v>7.2999999999999972</v>
      </c>
      <c r="D185" s="1">
        <f>96.9-94.8</f>
        <v>2.1000000000000085</v>
      </c>
      <c r="E185" s="1">
        <v>2</v>
      </c>
    </row>
    <row r="186" spans="1:5" x14ac:dyDescent="0.25">
      <c r="A186" s="1" t="s">
        <v>19</v>
      </c>
      <c r="B186" s="1">
        <f>0.758-0.545</f>
        <v>0.21299999999999997</v>
      </c>
      <c r="C186" s="1">
        <f>103.7-99.7</f>
        <v>4</v>
      </c>
      <c r="D186" s="1">
        <f>96.5-99</f>
        <v>-2.5</v>
      </c>
      <c r="E186" s="1">
        <v>2</v>
      </c>
    </row>
    <row r="187" spans="1:5" x14ac:dyDescent="0.25">
      <c r="A187" s="1" t="s">
        <v>13</v>
      </c>
      <c r="B187" s="1">
        <f>0.805-0.707</f>
        <v>9.8000000000000087E-2</v>
      </c>
      <c r="C187" s="1">
        <f>102.9-103</f>
        <v>-9.9999999999994316E-2</v>
      </c>
      <c r="D187" s="1">
        <f>95-96.6</f>
        <v>-1.5999999999999943</v>
      </c>
      <c r="E187" s="1">
        <v>2</v>
      </c>
    </row>
    <row r="188" spans="1:5" x14ac:dyDescent="0.25">
      <c r="A188" s="1" t="s">
        <v>13</v>
      </c>
      <c r="B188" s="1">
        <f>0.805-0.605</f>
        <v>0.20000000000000007</v>
      </c>
      <c r="C188" s="1">
        <f>102.9-94.7</f>
        <v>8.2000000000000028</v>
      </c>
      <c r="D188" s="1">
        <f>95-90.7</f>
        <v>4.2999999999999972</v>
      </c>
      <c r="E188" s="1">
        <v>-1</v>
      </c>
    </row>
    <row r="189" spans="1:5" x14ac:dyDescent="0.25">
      <c r="A189" s="1" t="s">
        <v>19</v>
      </c>
      <c r="B189" s="1">
        <f>0.707-0.683</f>
        <v>2.399999999999991E-2</v>
      </c>
      <c r="C189" s="1">
        <f>103-93.4</f>
        <v>9.5999999999999943</v>
      </c>
      <c r="D189" s="1">
        <f>96.6-89.3</f>
        <v>7.2999999999999972</v>
      </c>
      <c r="E189" s="1">
        <v>0</v>
      </c>
    </row>
    <row r="190" spans="1:5" x14ac:dyDescent="0.25">
      <c r="A190" s="1" t="s">
        <v>2</v>
      </c>
      <c r="B190" s="1">
        <f>0.605-0.659</f>
        <v>-5.4000000000000048E-2</v>
      </c>
      <c r="C190" s="1">
        <f>94.7-100</f>
        <v>-5.2999999999999972</v>
      </c>
      <c r="D190" s="1">
        <f>90.7-95.7</f>
        <v>-5</v>
      </c>
      <c r="E190" s="1">
        <v>0</v>
      </c>
    </row>
    <row r="191" spans="1:5" x14ac:dyDescent="0.25">
      <c r="A191" s="1" t="s">
        <v>25</v>
      </c>
      <c r="B191" s="1">
        <f>0.805-0.549</f>
        <v>0.25600000000000001</v>
      </c>
      <c r="C191" s="1">
        <f>102.9-93.2</f>
        <v>9.7000000000000028</v>
      </c>
      <c r="D191" s="1">
        <f>95-92.9</f>
        <v>2.0999999999999943</v>
      </c>
      <c r="E191" s="1">
        <v>0</v>
      </c>
    </row>
    <row r="192" spans="1:5" x14ac:dyDescent="0.25">
      <c r="A192" s="1" t="s">
        <v>25</v>
      </c>
      <c r="B192" s="1">
        <f>0.683-0.732</f>
        <v>-4.8999999999999932E-2</v>
      </c>
      <c r="C192" s="1">
        <f>93.4-105.7</f>
        <v>-12.299999999999997</v>
      </c>
      <c r="D192" s="1">
        <f>89.3-96.5</f>
        <v>-7.2000000000000028</v>
      </c>
      <c r="E192" s="1">
        <v>1</v>
      </c>
    </row>
    <row r="193" spans="1:5" x14ac:dyDescent="0.25">
      <c r="A193" s="1" t="s">
        <v>2</v>
      </c>
      <c r="B193" s="1">
        <f>0.707-0.573</f>
        <v>0.13400000000000001</v>
      </c>
      <c r="C193" s="1">
        <f>103-101.2</f>
        <v>1.7999999999999972</v>
      </c>
      <c r="D193" s="1">
        <f>96.6-100.3</f>
        <v>-3.7000000000000028</v>
      </c>
      <c r="E193" s="1">
        <v>0</v>
      </c>
    </row>
    <row r="194" spans="1:5" x14ac:dyDescent="0.25">
      <c r="A194" s="1" t="s">
        <v>13</v>
      </c>
      <c r="B194" s="1">
        <f>0.549-0.598</f>
        <v>-4.8999999999999932E-2</v>
      </c>
      <c r="C194" s="1">
        <f>93.2-96.9</f>
        <v>-3.7000000000000028</v>
      </c>
      <c r="D194" s="1">
        <f>92.9-95.1</f>
        <v>-2.1999999999999886</v>
      </c>
      <c r="E194" s="1">
        <v>2</v>
      </c>
    </row>
    <row r="195" spans="1:5" x14ac:dyDescent="0.25">
      <c r="A195" s="1" t="s">
        <v>2</v>
      </c>
      <c r="B195" s="1">
        <f>0.605-0.537</f>
        <v>6.7999999999999949E-2</v>
      </c>
      <c r="C195" s="1">
        <f>94.7-98</f>
        <v>-3.2999999999999972</v>
      </c>
      <c r="D195" s="1">
        <f>90.7-97.5</f>
        <v>-6.7999999999999972</v>
      </c>
      <c r="E195" s="1">
        <v>0</v>
      </c>
    </row>
    <row r="196" spans="1:5" x14ac:dyDescent="0.25">
      <c r="A196" s="1" t="s">
        <v>19</v>
      </c>
      <c r="B196" s="1">
        <f>0.805-0.463</f>
        <v>0.34200000000000003</v>
      </c>
      <c r="C196" s="1">
        <f>102.9-98.9</f>
        <v>4</v>
      </c>
      <c r="D196" s="1">
        <f>95-100.4</f>
        <v>-5.4000000000000057</v>
      </c>
      <c r="E196" s="1">
        <v>2</v>
      </c>
    </row>
    <row r="197" spans="1:5" x14ac:dyDescent="0.25">
      <c r="A197" s="1" t="s">
        <v>2</v>
      </c>
      <c r="B197" s="1">
        <f>0.659-0.506</f>
        <v>0.15300000000000002</v>
      </c>
      <c r="C197" s="1">
        <f>100-96.5</f>
        <v>3.5</v>
      </c>
      <c r="D197" s="1">
        <f>95.7-96.7</f>
        <v>-1</v>
      </c>
      <c r="E197" s="1">
        <v>2</v>
      </c>
    </row>
    <row r="198" spans="1:5" x14ac:dyDescent="0.25">
      <c r="A198" s="1" t="s">
        <v>2</v>
      </c>
      <c r="B198" s="1">
        <f>0.573-0.695</f>
        <v>-0.122</v>
      </c>
      <c r="C198" s="1">
        <f>101.2-106.1</f>
        <v>-4.8999999999999915</v>
      </c>
      <c r="D198" s="1">
        <f>100.3-101.1</f>
        <v>-0.79999999999999716</v>
      </c>
      <c r="E198" s="1">
        <v>-2</v>
      </c>
    </row>
    <row r="199" spans="1:5" x14ac:dyDescent="0.25">
      <c r="A199" s="1" t="s">
        <v>2</v>
      </c>
      <c r="B199" s="1">
        <f>0.683-0.683</f>
        <v>0</v>
      </c>
      <c r="C199" s="1">
        <f>93.4-101.1</f>
        <v>-7.6999999999999886</v>
      </c>
      <c r="D199" s="1">
        <f>89.3-94.6</f>
        <v>-5.2999999999999972</v>
      </c>
      <c r="E199" s="1">
        <v>-2</v>
      </c>
    </row>
    <row r="200" spans="1:5" x14ac:dyDescent="0.25">
      <c r="A200" s="1" t="s">
        <v>2</v>
      </c>
      <c r="B200" s="1">
        <f>0.732-0.549</f>
        <v>0.18299999999999994</v>
      </c>
      <c r="C200" s="1">
        <f>105.7-106</f>
        <v>-0.29999999999999716</v>
      </c>
      <c r="D200" s="1">
        <f>96.5-102.5</f>
        <v>-6</v>
      </c>
      <c r="E200" s="1">
        <v>1</v>
      </c>
    </row>
    <row r="201" spans="1:5" x14ac:dyDescent="0.25">
      <c r="A201" s="1" t="s">
        <v>19</v>
      </c>
      <c r="B201" s="1">
        <f>0.707-0.549</f>
        <v>0.15799999999999992</v>
      </c>
      <c r="C201" s="1">
        <f>103-102.2</f>
        <v>0.79999999999999716</v>
      </c>
      <c r="D201" s="1">
        <f>96.6-101</f>
        <v>-4.4000000000000057</v>
      </c>
      <c r="E201" s="1">
        <v>1</v>
      </c>
    </row>
    <row r="202" spans="1:5" x14ac:dyDescent="0.25">
      <c r="A202" s="1" t="s">
        <v>25</v>
      </c>
      <c r="B202" s="1">
        <f>0.756-0.659</f>
        <v>9.6999999999999975E-2</v>
      </c>
      <c r="C202" s="1">
        <f>105.4-102.2</f>
        <v>3.2000000000000028</v>
      </c>
      <c r="D202" s="1">
        <f>97.6-97.4</f>
        <v>0.19999999999998863</v>
      </c>
      <c r="E202" s="1">
        <v>0</v>
      </c>
    </row>
    <row r="203" spans="1:5" x14ac:dyDescent="0.25">
      <c r="A203" s="1" t="s">
        <v>2</v>
      </c>
      <c r="B203" s="1">
        <f>0.659-0.683</f>
        <v>-2.4000000000000021E-2</v>
      </c>
      <c r="C203" s="1">
        <f>102.2-96.7</f>
        <v>5.5</v>
      </c>
      <c r="D203" s="1">
        <f>97.4-92.3</f>
        <v>5.1000000000000085</v>
      </c>
      <c r="E203" s="1">
        <v>0</v>
      </c>
    </row>
    <row r="204" spans="1:5" x14ac:dyDescent="0.25">
      <c r="A204" s="1" t="s">
        <v>2</v>
      </c>
      <c r="B204" s="1">
        <f>0.756-0.72</f>
        <v>3.6000000000000032E-2</v>
      </c>
      <c r="C204" s="1">
        <f>105.4-106.2</f>
        <v>-0.79999999999999716</v>
      </c>
      <c r="D204" s="1">
        <f>97.6-99.8</f>
        <v>-2.2000000000000028</v>
      </c>
      <c r="E204" s="1">
        <v>-4</v>
      </c>
    </row>
    <row r="205" spans="1:5" x14ac:dyDescent="0.25">
      <c r="A205" s="1" t="s">
        <v>2</v>
      </c>
      <c r="B205" s="1">
        <f>0.683-0.537</f>
        <v>0.14600000000000002</v>
      </c>
      <c r="C205" s="1">
        <f>96.7-100.7</f>
        <v>-4</v>
      </c>
      <c r="D205" s="1">
        <f>92.3-99.4</f>
        <v>-7.1000000000000085</v>
      </c>
      <c r="E205" s="1">
        <v>1</v>
      </c>
    </row>
    <row r="206" spans="1:5" x14ac:dyDescent="0.25">
      <c r="A206" s="1" t="s">
        <v>25</v>
      </c>
      <c r="B206" s="1">
        <f>0.659-0.537</f>
        <v>0.122</v>
      </c>
      <c r="C206" s="1">
        <f>102.2-98.5</f>
        <v>3.7000000000000028</v>
      </c>
      <c r="D206" s="1">
        <f>97.4-99.5</f>
        <v>-2.0999999999999943</v>
      </c>
      <c r="E206" s="1">
        <v>-4</v>
      </c>
    </row>
    <row r="207" spans="1:5" x14ac:dyDescent="0.25">
      <c r="A207" s="1" t="s">
        <v>2</v>
      </c>
      <c r="B207" s="1">
        <f>0.72-0.695</f>
        <v>2.5000000000000022E-2</v>
      </c>
      <c r="C207" s="1">
        <f>106.2-107.9</f>
        <v>-1.7000000000000028</v>
      </c>
      <c r="D207" s="1">
        <f>99.8-101</f>
        <v>-1.2000000000000028</v>
      </c>
      <c r="E207" s="1">
        <v>0</v>
      </c>
    </row>
    <row r="208" spans="1:5" x14ac:dyDescent="0.25">
      <c r="A208" s="1" t="s">
        <v>25</v>
      </c>
      <c r="B208" s="1">
        <f>0.756-0.659</f>
        <v>9.6999999999999975E-2</v>
      </c>
      <c r="C208" s="1">
        <f>105.4-106.7</f>
        <v>-1.2999999999999972</v>
      </c>
      <c r="D208" s="1">
        <f>97.6-102.8</f>
        <v>-5.2000000000000028</v>
      </c>
      <c r="E208" s="1">
        <v>0</v>
      </c>
    </row>
    <row r="209" spans="1:5" x14ac:dyDescent="0.25">
      <c r="A209" s="1" t="s">
        <v>13</v>
      </c>
      <c r="B209" s="1">
        <f>0.537-0.585</f>
        <v>-4.7999999999999932E-2</v>
      </c>
      <c r="C209" s="1">
        <f>98.5-101.3</f>
        <v>-2.7999999999999972</v>
      </c>
      <c r="D209" s="1">
        <f>99.5-98</f>
        <v>1.5</v>
      </c>
      <c r="E209" s="1">
        <v>0</v>
      </c>
    </row>
    <row r="210" spans="1:5" x14ac:dyDescent="0.25">
      <c r="A210" s="1" t="s">
        <v>13</v>
      </c>
      <c r="B210" s="1">
        <f>0.683-0.463</f>
        <v>0.22000000000000003</v>
      </c>
      <c r="C210" s="1">
        <f>96.7-101</f>
        <v>-4.2999999999999972</v>
      </c>
      <c r="D210" s="1">
        <f>92.3-101.5</f>
        <v>-9.2000000000000028</v>
      </c>
      <c r="E210" s="1">
        <v>0</v>
      </c>
    </row>
    <row r="211" spans="1:5" x14ac:dyDescent="0.25">
      <c r="A211" s="1" t="s">
        <v>19</v>
      </c>
      <c r="B211" s="1">
        <f>0.659-0.524</f>
        <v>0.13500000000000001</v>
      </c>
      <c r="C211" s="1">
        <f>102.2-96.9</f>
        <v>5.2999999999999972</v>
      </c>
      <c r="D211" s="1">
        <f>97.4-97.1</f>
        <v>0.30000000000001137</v>
      </c>
      <c r="E211" s="1">
        <v>4</v>
      </c>
    </row>
    <row r="212" spans="1:5" x14ac:dyDescent="0.25">
      <c r="A212" s="1" t="s">
        <v>25</v>
      </c>
      <c r="B212" s="1">
        <f>0.537-0.585</f>
        <v>-4.7999999999999932E-2</v>
      </c>
      <c r="C212" s="1">
        <f>100.7-93.7</f>
        <v>7</v>
      </c>
      <c r="D212" s="1">
        <f>99.4-91.8</f>
        <v>7.6000000000000085</v>
      </c>
      <c r="E212" s="1">
        <v>1</v>
      </c>
    </row>
    <row r="213" spans="1:5" x14ac:dyDescent="0.25">
      <c r="A213" s="1" t="s">
        <v>13</v>
      </c>
      <c r="B213" s="1">
        <f>0.695-0.622</f>
        <v>7.2999999999999954E-2</v>
      </c>
      <c r="C213" s="1">
        <f>107.9-104.3</f>
        <v>3.6000000000000085</v>
      </c>
      <c r="D213" s="1">
        <f>101-99.5</f>
        <v>1.5</v>
      </c>
      <c r="E213" s="1">
        <v>0</v>
      </c>
    </row>
    <row r="214" spans="1:5" x14ac:dyDescent="0.25">
      <c r="A214" s="1" t="s">
        <v>13</v>
      </c>
      <c r="B214" s="1">
        <f>0.72-0.61</f>
        <v>0.10999999999999999</v>
      </c>
      <c r="C214" s="1">
        <f>106.2-96.1</f>
        <v>10.100000000000009</v>
      </c>
      <c r="D214" s="1">
        <f>99.8-94.6</f>
        <v>5.2000000000000028</v>
      </c>
      <c r="E214" s="1">
        <v>2</v>
      </c>
    </row>
    <row r="215" spans="1:5" x14ac:dyDescent="0.25">
      <c r="A215" s="1" t="s">
        <v>2</v>
      </c>
      <c r="B215" s="1">
        <f>0.659-0.659</f>
        <v>0</v>
      </c>
      <c r="C215" s="1">
        <f>106.7-107.7</f>
        <v>-1</v>
      </c>
      <c r="D215" s="1">
        <f>102.8-103.1</f>
        <v>-0.29999999999999716</v>
      </c>
      <c r="E215" s="1">
        <v>-2</v>
      </c>
    </row>
    <row r="216" spans="1:5" x14ac:dyDescent="0.25">
      <c r="A216" s="1" t="s">
        <v>13</v>
      </c>
      <c r="B216" s="1">
        <f>0.756-0.598</f>
        <v>0.15800000000000003</v>
      </c>
      <c r="C216" s="1">
        <f>105.4-104.8</f>
        <v>0.60000000000000853</v>
      </c>
      <c r="D216" s="1">
        <f>97.6-102.4</f>
        <v>-4.8000000000000114</v>
      </c>
      <c r="E216" s="1">
        <v>4</v>
      </c>
    </row>
    <row r="217" spans="1:5" x14ac:dyDescent="0.25">
      <c r="A217" s="1" t="s">
        <v>2</v>
      </c>
      <c r="B217" s="1">
        <f>0.817-0.646</f>
        <v>0.17099999999999993</v>
      </c>
      <c r="C217" s="1">
        <f>110-103.1</f>
        <v>6.9000000000000057</v>
      </c>
      <c r="D217" s="1">
        <f>99.9-98.7</f>
        <v>1.2000000000000028</v>
      </c>
      <c r="E217" s="1">
        <v>0</v>
      </c>
    </row>
    <row r="218" spans="1:5" x14ac:dyDescent="0.25">
      <c r="A218" s="1" t="s">
        <v>19</v>
      </c>
      <c r="B218" s="1">
        <f>0.646-0.732</f>
        <v>-8.5999999999999965E-2</v>
      </c>
      <c r="C218" s="1">
        <f>103.1-102.5</f>
        <v>0.59999999999999432</v>
      </c>
      <c r="D218" s="1">
        <f>98.7-97.1</f>
        <v>1.6000000000000085</v>
      </c>
      <c r="E218" s="1">
        <v>-2</v>
      </c>
    </row>
    <row r="219" spans="1:5" x14ac:dyDescent="0.25">
      <c r="A219" s="1" t="s">
        <v>25</v>
      </c>
      <c r="B219" s="1">
        <f>0.817-0.683</f>
        <v>0.1339999999999999</v>
      </c>
      <c r="C219" s="1">
        <f>110-103.9</f>
        <v>6.0999999999999943</v>
      </c>
      <c r="D219" s="1">
        <f>99.9-100.5</f>
        <v>-0.59999999999999432</v>
      </c>
      <c r="E219" s="1">
        <v>4</v>
      </c>
    </row>
    <row r="220" spans="1:5" x14ac:dyDescent="0.25">
      <c r="A220" s="1" t="s">
        <v>2</v>
      </c>
      <c r="B220" s="1">
        <f>0.732-0.561</f>
        <v>0.17099999999999993</v>
      </c>
      <c r="C220" s="1">
        <f>102.5-98.5</f>
        <v>4</v>
      </c>
      <c r="D220" s="1">
        <f>97.1-97.8</f>
        <v>-0.70000000000000284</v>
      </c>
      <c r="E220" s="1">
        <v>2</v>
      </c>
    </row>
    <row r="221" spans="1:5" x14ac:dyDescent="0.25">
      <c r="A221" s="1" t="s">
        <v>2</v>
      </c>
      <c r="B221" s="1">
        <f>0.646-0.61</f>
        <v>3.6000000000000032E-2</v>
      </c>
      <c r="C221" s="1">
        <f>103.1-100.8</f>
        <v>2.2999999999999972</v>
      </c>
      <c r="D221" s="1">
        <f>98.7-97.8</f>
        <v>0.90000000000000568</v>
      </c>
      <c r="E221" s="1">
        <v>2</v>
      </c>
    </row>
    <row r="222" spans="1:5" x14ac:dyDescent="0.25">
      <c r="A222" s="1" t="s">
        <v>2</v>
      </c>
      <c r="B222" s="1">
        <f>0.817-0.671</f>
        <v>0.14599999999999991</v>
      </c>
      <c r="C222" s="1">
        <f>110-98.3</f>
        <v>11.700000000000003</v>
      </c>
      <c r="D222" s="1">
        <f>99.9-95.1</f>
        <v>4.8000000000000114</v>
      </c>
      <c r="E222" s="1">
        <v>1</v>
      </c>
    </row>
    <row r="223" spans="1:5" x14ac:dyDescent="0.25">
      <c r="A223" s="1" t="s">
        <v>13</v>
      </c>
      <c r="B223" s="1">
        <f>0.683-0.683</f>
        <v>0</v>
      </c>
      <c r="C223" s="1">
        <f>103.9-106.7</f>
        <v>-2.7999999999999972</v>
      </c>
      <c r="D223" s="1">
        <f>100.5-100.1</f>
        <v>0.40000000000000568</v>
      </c>
      <c r="E223" s="1">
        <v>0</v>
      </c>
    </row>
    <row r="224" spans="1:5" x14ac:dyDescent="0.25">
      <c r="A224" s="1" t="s">
        <v>2</v>
      </c>
      <c r="B224" s="1">
        <f>0.732-0.463</f>
        <v>0.26899999999999996</v>
      </c>
      <c r="C224" s="1">
        <f>102.5-98</f>
        <v>4.5</v>
      </c>
      <c r="D224" s="1">
        <f>97.1-100.9</f>
        <v>-3.8000000000000114</v>
      </c>
      <c r="E224" s="1">
        <v>4</v>
      </c>
    </row>
    <row r="225" spans="1:5" x14ac:dyDescent="0.25">
      <c r="A225" s="1" t="s">
        <v>2</v>
      </c>
      <c r="B225" s="1">
        <f>0.61-0.5</f>
        <v>0.10999999999999999</v>
      </c>
      <c r="C225" s="1">
        <f>100.8-97.8</f>
        <v>3</v>
      </c>
      <c r="D225" s="1">
        <f>97.8-97.4</f>
        <v>0.39999999999999147</v>
      </c>
      <c r="E225" s="1">
        <v>2</v>
      </c>
    </row>
    <row r="226" spans="1:5" x14ac:dyDescent="0.25">
      <c r="A226" s="1" t="s">
        <v>19</v>
      </c>
      <c r="B226" s="1">
        <f>0.646-0.488</f>
        <v>0.15800000000000003</v>
      </c>
      <c r="C226" s="1">
        <f>103.1-101.4</f>
        <v>1.6999999999999886</v>
      </c>
      <c r="D226" s="1">
        <f>98.7-101.2</f>
        <v>-2.5</v>
      </c>
      <c r="E226" s="1">
        <v>0</v>
      </c>
    </row>
    <row r="227" spans="1:5" x14ac:dyDescent="0.25">
      <c r="A227" s="1" t="s">
        <v>19</v>
      </c>
      <c r="B227" s="1">
        <f>0.561-0.598</f>
        <v>-3.6999999999999922E-2</v>
      </c>
      <c r="C227" s="1">
        <f>98.5-104</f>
        <v>-5.5</v>
      </c>
      <c r="D227" s="1">
        <f>97.8-100.9</f>
        <v>-3.1000000000000085</v>
      </c>
      <c r="E227" s="1">
        <v>-3</v>
      </c>
    </row>
    <row r="228" spans="1:5" x14ac:dyDescent="0.25">
      <c r="A228" s="1" t="s">
        <v>19</v>
      </c>
      <c r="B228" s="3">
        <f>0.817-0.549</f>
        <v>0.2679999999999999</v>
      </c>
      <c r="C228" s="3">
        <f>110-99.4</f>
        <v>10.599999999999994</v>
      </c>
      <c r="D228" s="3">
        <f>99.9-98.6</f>
        <v>1.3000000000000114</v>
      </c>
      <c r="E228" s="1">
        <v>2</v>
      </c>
    </row>
    <row r="229" spans="1:5" x14ac:dyDescent="0.25">
      <c r="A229" s="1" t="s">
        <v>25</v>
      </c>
      <c r="B229" s="1">
        <f>0.683-0.61</f>
        <v>7.3000000000000065E-2</v>
      </c>
      <c r="C229" s="1">
        <f>103.9-105.2</f>
        <v>-1.2999999999999972</v>
      </c>
      <c r="D229" s="1">
        <f>100.5-102.3</f>
        <v>-1.7999999999999972</v>
      </c>
      <c r="E229" s="1">
        <v>2</v>
      </c>
    </row>
    <row r="230" spans="1:5" x14ac:dyDescent="0.25">
      <c r="A230" s="1" t="s">
        <v>13</v>
      </c>
      <c r="B230" s="1">
        <f>0.683-0.671</f>
        <v>1.2000000000000011E-2</v>
      </c>
      <c r="C230" s="1">
        <f>106.7-103.2</f>
        <v>3.5</v>
      </c>
      <c r="D230" s="1">
        <f>100.1-97</f>
        <v>3.0999999999999943</v>
      </c>
      <c r="E230" s="1">
        <v>0</v>
      </c>
    </row>
    <row r="231" spans="1:5" x14ac:dyDescent="0.25">
      <c r="A231" s="1" t="s">
        <v>25</v>
      </c>
      <c r="B231" s="1">
        <f>0.671-0.622</f>
        <v>4.9000000000000044E-2</v>
      </c>
      <c r="C231" s="1">
        <f>98.3-102.8</f>
        <v>-4.5</v>
      </c>
      <c r="D231" s="1">
        <f>95.1-98.6</f>
        <v>-3.5</v>
      </c>
      <c r="E231" s="1">
        <v>4</v>
      </c>
    </row>
    <row r="232" spans="1:5" x14ac:dyDescent="0.25">
      <c r="A232" s="1" t="s">
        <v>13</v>
      </c>
      <c r="B232" s="1">
        <f>0.695-0.89</f>
        <v>-0.19500000000000006</v>
      </c>
      <c r="C232" s="1">
        <f>104.3-114.9</f>
        <v>-10.600000000000009</v>
      </c>
      <c r="D232" s="1">
        <f>98.3-104.1</f>
        <v>-5.7999999999999972</v>
      </c>
      <c r="E232" s="1">
        <v>-2</v>
      </c>
    </row>
    <row r="233" spans="1:5" x14ac:dyDescent="0.25">
      <c r="A233" s="1" t="s">
        <v>2</v>
      </c>
      <c r="B233" s="1">
        <f>0.695-0.683</f>
        <v>1.19999999999999E-2</v>
      </c>
      <c r="C233" s="1">
        <f>104.3-102.7</f>
        <v>1.5999999999999943</v>
      </c>
      <c r="D233" s="1">
        <f>98.3-98.2</f>
        <v>9.9999999999994316E-2</v>
      </c>
      <c r="E233" s="1">
        <v>-1</v>
      </c>
    </row>
    <row r="234" spans="1:5" x14ac:dyDescent="0.25">
      <c r="A234" s="1" t="s">
        <v>13</v>
      </c>
      <c r="B234" s="1">
        <f>0.89-0.671</f>
        <v>0.21899999999999997</v>
      </c>
      <c r="C234" s="1">
        <f>114.9-110.2</f>
        <v>4.7000000000000028</v>
      </c>
      <c r="D234" s="1">
        <f>104.1-102.9</f>
        <v>1.1999999999999886</v>
      </c>
      <c r="E234" s="1">
        <v>3</v>
      </c>
    </row>
    <row r="235" spans="1:5" x14ac:dyDescent="0.25">
      <c r="A235" s="1" t="s">
        <v>19</v>
      </c>
      <c r="B235" s="1">
        <f>0.695-0.585</f>
        <v>0.10999999999999999</v>
      </c>
      <c r="C235" s="1">
        <f>104.3-102.8</f>
        <v>1.5</v>
      </c>
      <c r="D235" s="1">
        <f>98.3-99.2</f>
        <v>-0.90000000000000568</v>
      </c>
      <c r="E235" s="1">
        <v>3</v>
      </c>
    </row>
    <row r="236" spans="1:5" x14ac:dyDescent="0.25">
      <c r="A236" s="1" t="s">
        <v>13</v>
      </c>
      <c r="B236" s="1">
        <f>0.683-0.585</f>
        <v>9.8000000000000087E-2</v>
      </c>
      <c r="C236" s="1">
        <f>102.7-100</f>
        <v>2.7000000000000028</v>
      </c>
      <c r="D236" s="1">
        <f>98.2-98.4</f>
        <v>-0.20000000000000284</v>
      </c>
      <c r="E236" s="1">
        <v>2</v>
      </c>
    </row>
    <row r="237" spans="1:5" x14ac:dyDescent="0.25">
      <c r="A237" s="1" t="s">
        <v>25</v>
      </c>
      <c r="B237" s="1">
        <f>0.89-0.537</f>
        <v>0.35299999999999998</v>
      </c>
      <c r="C237" s="1">
        <f>114.9-105.1</f>
        <v>9.8000000000000114</v>
      </c>
      <c r="D237" s="1">
        <f>104.1-104.3</f>
        <v>-0.20000000000000284</v>
      </c>
      <c r="E237" s="1">
        <v>2</v>
      </c>
    </row>
    <row r="238" spans="1:5" x14ac:dyDescent="0.25">
      <c r="A238" s="1" t="s">
        <v>2</v>
      </c>
      <c r="B238" s="1">
        <f>0.671-0.817</f>
        <v>-0.14599999999999991</v>
      </c>
      <c r="C238" s="1">
        <f>110.2-103.5</f>
        <v>6.7000000000000028</v>
      </c>
      <c r="D238" s="1">
        <f>102.9-92.9</f>
        <v>10</v>
      </c>
      <c r="E238" s="1">
        <v>0</v>
      </c>
    </row>
    <row r="239" spans="1:5" x14ac:dyDescent="0.25">
      <c r="A239" s="1" t="s">
        <v>2</v>
      </c>
      <c r="B239" s="1">
        <f>0.585-0.585</f>
        <v>0</v>
      </c>
      <c r="C239" s="1">
        <f>102.8-105.7</f>
        <v>-2.9000000000000057</v>
      </c>
      <c r="D239" s="1">
        <f>99.2-102.5</f>
        <v>-3.2999999999999972</v>
      </c>
      <c r="E239" s="1">
        <v>2</v>
      </c>
    </row>
    <row r="240" spans="1:5" x14ac:dyDescent="0.25">
      <c r="A240" s="1" t="s">
        <v>19</v>
      </c>
      <c r="B240" s="1">
        <f>0.695-0.537</f>
        <v>0.15799999999999992</v>
      </c>
      <c r="C240" s="1">
        <f>104.3-102</f>
        <v>2.2999999999999972</v>
      </c>
      <c r="D240" s="1">
        <f>98.3-101.4</f>
        <v>-3.1000000000000085</v>
      </c>
      <c r="E240" s="1">
        <v>-2</v>
      </c>
    </row>
    <row r="241" spans="1:5" x14ac:dyDescent="0.25">
      <c r="A241" s="1" t="s">
        <v>13</v>
      </c>
      <c r="B241" s="1">
        <f>0.585-0.585</f>
        <v>0</v>
      </c>
      <c r="C241" s="1">
        <f>100-103.4</f>
        <v>-3.4000000000000057</v>
      </c>
      <c r="D241" s="1">
        <f>98.4-100.7</f>
        <v>-2.2999999999999972</v>
      </c>
      <c r="E241" s="1">
        <v>0</v>
      </c>
    </row>
    <row r="242" spans="1:5" x14ac:dyDescent="0.25">
      <c r="A242" s="1" t="s">
        <v>13</v>
      </c>
      <c r="B242" s="1">
        <f>0.683-0.549</f>
        <v>0.13400000000000001</v>
      </c>
      <c r="C242" s="1">
        <f>102.7-102.2</f>
        <v>0.5</v>
      </c>
      <c r="D242" s="1">
        <f>98.2-100.5</f>
        <v>-2.2999999999999972</v>
      </c>
      <c r="E242" s="1">
        <v>2</v>
      </c>
    </row>
    <row r="243" spans="1:5" x14ac:dyDescent="0.25">
      <c r="A243" s="1" t="s">
        <v>25</v>
      </c>
      <c r="B243" s="1">
        <f>0.89-0.5</f>
        <v>0.39</v>
      </c>
      <c r="C243" s="1">
        <f>114.9-106.5</f>
        <v>8.4000000000000057</v>
      </c>
      <c r="D243" s="1">
        <f>104.1-106.4</f>
        <v>-2.3000000000000114</v>
      </c>
      <c r="E243" s="1">
        <v>3</v>
      </c>
    </row>
    <row r="244" spans="1:5" x14ac:dyDescent="0.25">
      <c r="A244" s="1" t="s">
        <v>25</v>
      </c>
      <c r="B244" s="1">
        <f>0.671-0.512</f>
        <v>0.15900000000000003</v>
      </c>
      <c r="C244" s="1">
        <f>110.2-102.3</f>
        <v>7.9000000000000057</v>
      </c>
      <c r="D244" s="1">
        <f>102.9-102.6</f>
        <v>0.30000000000001137</v>
      </c>
      <c r="E244" s="1">
        <v>4</v>
      </c>
    </row>
    <row r="245" spans="1:5" x14ac:dyDescent="0.25">
      <c r="A245" s="1" t="s">
        <v>2</v>
      </c>
      <c r="B245" s="1">
        <f>0.537-0.646</f>
        <v>-0.10899999999999999</v>
      </c>
      <c r="C245" s="1">
        <f>105.1-104.5</f>
        <v>0.59999999999999432</v>
      </c>
      <c r="D245" s="1">
        <f>104.3-100.2</f>
        <v>4.0999999999999943</v>
      </c>
      <c r="E245" s="1">
        <v>-2</v>
      </c>
    </row>
    <row r="246" spans="1:5" x14ac:dyDescent="0.25">
      <c r="A246" s="1" t="s">
        <v>19</v>
      </c>
      <c r="B246" s="1">
        <f>0.817-0.512</f>
        <v>0.30499999999999994</v>
      </c>
      <c r="C246" s="1">
        <f>103.5-99.1</f>
        <v>4.4000000000000057</v>
      </c>
      <c r="D246" s="1">
        <f>92.9-101.3</f>
        <v>-8.3999999999999915</v>
      </c>
      <c r="E246" s="1">
        <v>4</v>
      </c>
    </row>
    <row r="247" spans="1:5" x14ac:dyDescent="0.25">
      <c r="A247" s="1" t="s">
        <v>25</v>
      </c>
      <c r="B247" s="1">
        <f>0.817-0.622</f>
        <v>0.19499999999999995</v>
      </c>
      <c r="C247" s="1">
        <f>115.9-110.3</f>
        <v>5.6000000000000085</v>
      </c>
      <c r="D247" s="1">
        <f>104.3-107.2</f>
        <v>-2.9000000000000057</v>
      </c>
      <c r="E247" s="1">
        <v>0</v>
      </c>
    </row>
    <row r="248" spans="1:5" x14ac:dyDescent="0.25">
      <c r="A248" s="1" t="s">
        <v>25</v>
      </c>
      <c r="B248" s="1">
        <f>0.622-0.646</f>
        <v>-2.4000000000000021E-2</v>
      </c>
      <c r="C248" s="1">
        <f>110.3-108</f>
        <v>2.2999999999999972</v>
      </c>
      <c r="D248" s="1">
        <f>107.2-105.4</f>
        <v>1.7999999999999972</v>
      </c>
      <c r="E248" s="1">
        <v>2</v>
      </c>
    </row>
    <row r="249" spans="1:5" x14ac:dyDescent="0.25">
      <c r="A249" s="1" t="s">
        <v>19</v>
      </c>
      <c r="B249" s="1">
        <f>0.817-0.744</f>
        <v>7.2999999999999954E-2</v>
      </c>
      <c r="C249" s="1">
        <f>115.9-105.3</f>
        <v>10.600000000000009</v>
      </c>
      <c r="D249" s="1">
        <f>104.3-98.1</f>
        <v>6.2000000000000028</v>
      </c>
      <c r="E249" s="1">
        <v>-1</v>
      </c>
    </row>
    <row r="250" spans="1:5" x14ac:dyDescent="0.25">
      <c r="A250" s="1" t="s">
        <v>13</v>
      </c>
      <c r="B250" s="1">
        <f>0.646-0.598</f>
        <v>4.8000000000000043E-2</v>
      </c>
      <c r="C250" s="1">
        <f>108-109.2</f>
        <v>-1.2000000000000028</v>
      </c>
      <c r="D250" s="1">
        <f>105.4-107.4</f>
        <v>-2</v>
      </c>
      <c r="E250" s="1">
        <v>0</v>
      </c>
    </row>
    <row r="251" spans="1:5" x14ac:dyDescent="0.25">
      <c r="A251" s="1" t="s">
        <v>19</v>
      </c>
      <c r="B251" s="1">
        <f>0.622-0.622</f>
        <v>0</v>
      </c>
      <c r="C251" s="1">
        <f>110.3-106.9</f>
        <v>3.3999999999999915</v>
      </c>
      <c r="D251" s="1">
        <f>107.2-102.6</f>
        <v>4.6000000000000085</v>
      </c>
      <c r="E251" s="1">
        <v>2</v>
      </c>
    </row>
    <row r="252" spans="1:5" x14ac:dyDescent="0.25">
      <c r="A252" s="1" t="s">
        <v>19</v>
      </c>
      <c r="B252" s="1">
        <f>0.817-0.622</f>
        <v>0.19499999999999995</v>
      </c>
      <c r="C252" s="1">
        <f>115.9-100.7</f>
        <v>15.200000000000003</v>
      </c>
      <c r="D252" s="1">
        <f>104.3-96.8</f>
        <v>7.5</v>
      </c>
      <c r="E252" s="1">
        <v>1</v>
      </c>
    </row>
    <row r="253" spans="1:5" x14ac:dyDescent="0.25">
      <c r="A253" s="1" t="s">
        <v>2</v>
      </c>
      <c r="B253" s="1">
        <f>0.744-0.671</f>
        <v>7.2999999999999954E-2</v>
      </c>
      <c r="C253" s="1">
        <f>105.3-115.3</f>
        <v>-10</v>
      </c>
      <c r="D253" s="1">
        <f>98.1-109.6</f>
        <v>-11.5</v>
      </c>
      <c r="E253" s="1">
        <v>2</v>
      </c>
    </row>
    <row r="254" spans="1:5" x14ac:dyDescent="0.25">
      <c r="A254" s="1" t="s">
        <v>2</v>
      </c>
      <c r="B254" s="1">
        <f>0.646-0.5</f>
        <v>0.14600000000000002</v>
      </c>
      <c r="C254" s="1">
        <f>108-102.9</f>
        <v>5.0999999999999943</v>
      </c>
      <c r="D254" s="1">
        <f>105.4-102.4</f>
        <v>3</v>
      </c>
      <c r="E254" s="1">
        <v>0</v>
      </c>
    </row>
    <row r="255" spans="1:5" x14ac:dyDescent="0.25">
      <c r="A255" s="1" t="s">
        <v>19</v>
      </c>
      <c r="B255" s="1">
        <f>0.622-0.512</f>
        <v>0.10999999999999999</v>
      </c>
      <c r="C255" s="1">
        <f>110.3-105.1</f>
        <v>5.2000000000000028</v>
      </c>
      <c r="D255" s="1">
        <f>107.2-105.3</f>
        <v>1.9000000000000057</v>
      </c>
      <c r="E255" s="1">
        <v>2</v>
      </c>
    </row>
    <row r="256" spans="1:5" x14ac:dyDescent="0.25">
      <c r="A256" s="1" t="s">
        <v>2</v>
      </c>
      <c r="B256" s="1">
        <f>0.622-0.512</f>
        <v>0.10999999999999999</v>
      </c>
      <c r="C256" s="1">
        <f>106.9-103.6</f>
        <v>3.3000000000000114</v>
      </c>
      <c r="D256" s="1">
        <f>102.6-103.8</f>
        <v>-1.2000000000000028</v>
      </c>
      <c r="E256" s="1">
        <v>2</v>
      </c>
    </row>
    <row r="257" spans="1:6" x14ac:dyDescent="0.25">
      <c r="A257" s="1" t="s">
        <v>2</v>
      </c>
      <c r="B257" s="1">
        <f>0.598-0.524</f>
        <v>7.3999999999999955E-2</v>
      </c>
      <c r="C257" s="1">
        <f>109.2-103.2</f>
        <v>6</v>
      </c>
      <c r="D257" s="1">
        <f>107.4-104</f>
        <v>3.4000000000000057</v>
      </c>
      <c r="E257" s="1">
        <v>2</v>
      </c>
    </row>
    <row r="258" spans="1:6" x14ac:dyDescent="0.25">
      <c r="A258" s="1" t="s">
        <v>19</v>
      </c>
      <c r="B258" s="1">
        <f>0.817-0.5</f>
        <v>0.31699999999999995</v>
      </c>
      <c r="C258" s="1">
        <f>115.9-107.9</f>
        <v>8</v>
      </c>
      <c r="D258" s="1">
        <f>104.3-108.5</f>
        <v>-4.2000000000000028</v>
      </c>
      <c r="E258" s="1">
        <v>4</v>
      </c>
    </row>
    <row r="259" spans="1:6" x14ac:dyDescent="0.25">
      <c r="A259" s="1" t="s">
        <v>25</v>
      </c>
      <c r="B259" s="1">
        <f>0.671-0.573</f>
        <v>9.8000000000000087E-2</v>
      </c>
      <c r="C259" s="1">
        <f>115.3-106.6</f>
        <v>8.7000000000000028</v>
      </c>
      <c r="D259" s="1">
        <f>109.6-105.8</f>
        <v>3.7999999999999972</v>
      </c>
      <c r="E259" s="1">
        <v>2</v>
      </c>
    </row>
    <row r="260" spans="1:6" x14ac:dyDescent="0.25">
      <c r="A260" s="1" t="s">
        <v>2</v>
      </c>
      <c r="B260" s="1">
        <f>0.744-0.524</f>
        <v>0.21999999999999997</v>
      </c>
      <c r="C260" s="1">
        <f>105.3-100.5</f>
        <v>4.7999999999999972</v>
      </c>
      <c r="D260" s="1">
        <f>98.1-100</f>
        <v>-1.9000000000000057</v>
      </c>
      <c r="E260" s="1">
        <v>0</v>
      </c>
    </row>
    <row r="261" spans="1:6" x14ac:dyDescent="0.25">
      <c r="A261" s="1" t="s">
        <v>13</v>
      </c>
      <c r="B261" s="1">
        <f>0.622-0.622</f>
        <v>0</v>
      </c>
      <c r="C261" s="1">
        <f>100.7-108.7</f>
        <v>-8</v>
      </c>
      <c r="D261" s="1">
        <f>96.8-104.4</f>
        <v>-7.6000000000000085</v>
      </c>
      <c r="E261" s="1">
        <v>-2</v>
      </c>
    </row>
    <row r="264" spans="1:6" x14ac:dyDescent="0.25">
      <c r="A264" s="1" t="s">
        <v>991</v>
      </c>
    </row>
    <row r="265" spans="1:6" x14ac:dyDescent="0.25">
      <c r="A265" s="1" t="s">
        <v>965</v>
      </c>
      <c r="B265" s="1">
        <f>0.72-0.524</f>
        <v>0.19599999999999995</v>
      </c>
      <c r="C265" s="1">
        <f>111.7-106.6</f>
        <v>5.1000000000000085</v>
      </c>
      <c r="D265" s="1">
        <f>103.9-106</f>
        <v>-2.0999999999999943</v>
      </c>
      <c r="E265" s="1">
        <v>0</v>
      </c>
      <c r="F265" s="1"/>
    </row>
    <row r="266" spans="1:6" x14ac:dyDescent="0.25">
      <c r="A266" s="1" t="s">
        <v>966</v>
      </c>
      <c r="B266" s="1">
        <f>0.671-0.537</f>
        <v>0.13400000000000001</v>
      </c>
      <c r="C266" s="1">
        <f>104-106.5</f>
        <v>-2.5</v>
      </c>
      <c r="D266" s="1">
        <f>100.4-106.8</f>
        <v>-6.3999999999999915</v>
      </c>
      <c r="E266" s="1">
        <v>0</v>
      </c>
      <c r="F266" s="1"/>
    </row>
    <row r="267" spans="1:6" x14ac:dyDescent="0.25">
      <c r="A267" s="1" t="s">
        <v>967</v>
      </c>
      <c r="B267" s="1">
        <f>0.634-0.537</f>
        <v>9.6999999999999975E-2</v>
      </c>
      <c r="C267" s="1">
        <f>109.8-103.4</f>
        <v>6.3999999999999915</v>
      </c>
      <c r="D267" s="1">
        <f>105.3-102.9</f>
        <v>2.3999999999999915</v>
      </c>
      <c r="E267" s="1">
        <v>0</v>
      </c>
      <c r="F267" s="1"/>
    </row>
    <row r="268" spans="1:6" x14ac:dyDescent="0.25">
      <c r="A268" s="1" t="s">
        <v>909</v>
      </c>
      <c r="B268" s="1">
        <f>0.61-0.585</f>
        <v>2.5000000000000022E-2</v>
      </c>
      <c r="C268" s="1">
        <f>110.9-105.6</f>
        <v>5.3000000000000114</v>
      </c>
      <c r="D268" s="1">
        <f>109.9-104.2</f>
        <v>5.7000000000000028</v>
      </c>
      <c r="E268" s="1">
        <v>-2</v>
      </c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 t="s">
        <v>968</v>
      </c>
      <c r="B270" s="1">
        <f>0.793-0.573</f>
        <v>0.22000000000000008</v>
      </c>
      <c r="C270" s="1">
        <f>112.4-109.5</f>
        <v>2.9000000000000057</v>
      </c>
      <c r="D270" s="1">
        <f>103.9-107.3</f>
        <v>-3.3999999999999915</v>
      </c>
      <c r="E270" s="1">
        <v>4</v>
      </c>
      <c r="F270" s="1"/>
    </row>
    <row r="271" spans="1:6" x14ac:dyDescent="0.25">
      <c r="A271" s="1" t="s">
        <v>904</v>
      </c>
      <c r="B271" s="1">
        <f>0.707-0.573</f>
        <v>0.13400000000000001</v>
      </c>
      <c r="C271" s="1">
        <f>113.5-102.7</f>
        <v>10.799999999999997</v>
      </c>
      <c r="D271" s="1">
        <f>107.5-99.8</f>
        <v>7.7000000000000028</v>
      </c>
      <c r="E271" s="1">
        <v>2</v>
      </c>
      <c r="F271" s="1"/>
    </row>
    <row r="272" spans="1:6" x14ac:dyDescent="0.25">
      <c r="A272" s="1" t="s">
        <v>969</v>
      </c>
      <c r="B272" s="1">
        <f>0.598-0.585</f>
        <v>1.3000000000000012E-2</v>
      </c>
      <c r="C272" s="1">
        <f>105.6-111.7</f>
        <v>-6.1000000000000085</v>
      </c>
      <c r="D272" s="1">
        <f>103-110.4</f>
        <v>-7.4000000000000057</v>
      </c>
      <c r="E272" s="1">
        <v>0</v>
      </c>
      <c r="F272" s="1"/>
    </row>
    <row r="273" spans="1:6" x14ac:dyDescent="0.25">
      <c r="A273" s="1" t="s">
        <v>970</v>
      </c>
      <c r="B273" s="1">
        <f>0.585-0.585</f>
        <v>0</v>
      </c>
      <c r="C273" s="1">
        <f>107.9-104.1</f>
        <v>3.8000000000000114</v>
      </c>
      <c r="D273" s="1">
        <f>104.4-99.8</f>
        <v>4.6000000000000085</v>
      </c>
      <c r="E273" s="1">
        <v>2</v>
      </c>
      <c r="F2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AF12-2B45-4D79-A291-395C8BE71A7A}">
  <dimension ref="A1:E279"/>
  <sheetViews>
    <sheetView topLeftCell="A250" workbookViewId="0">
      <selection activeCell="A265" sqref="A265"/>
    </sheetView>
  </sheetViews>
  <sheetFormatPr defaultRowHeight="15" x14ac:dyDescent="0.25"/>
  <cols>
    <col min="1" max="1" width="43.42578125" customWidth="1"/>
    <col min="2" max="2" width="13.85546875" customWidth="1"/>
    <col min="3" max="3" width="16.28515625" customWidth="1"/>
    <col min="4" max="4" width="14" customWidth="1"/>
    <col min="5" max="5" width="17.85546875" customWidth="1"/>
  </cols>
  <sheetData>
    <row r="1" spans="1:5" x14ac:dyDescent="0.25">
      <c r="A1" s="1" t="s">
        <v>963</v>
      </c>
      <c r="B1" s="1" t="s">
        <v>959</v>
      </c>
      <c r="C1" s="1" t="s">
        <v>960</v>
      </c>
      <c r="D1" s="1" t="s">
        <v>961</v>
      </c>
      <c r="E1" s="1" t="s">
        <v>962</v>
      </c>
    </row>
    <row r="2" spans="1:5" x14ac:dyDescent="0.25">
      <c r="A2" s="4">
        <v>6</v>
      </c>
      <c r="B2" s="1">
        <f>0.756-0.756</f>
        <v>0</v>
      </c>
      <c r="C2" s="1">
        <f>96.7-101</f>
        <v>-4.2999999999999972</v>
      </c>
      <c r="D2" s="1">
        <f>89.6-94.4</f>
        <v>-4.8000000000000114</v>
      </c>
      <c r="E2" s="1">
        <v>-2</v>
      </c>
    </row>
    <row r="3" spans="1:5" x14ac:dyDescent="0.25">
      <c r="A3" s="1">
        <v>7</v>
      </c>
      <c r="B3" s="1">
        <f>0.756-0.707</f>
        <v>4.9000000000000044E-2</v>
      </c>
      <c r="C3" s="1">
        <f>96.7-96</f>
        <v>0.70000000000000284</v>
      </c>
      <c r="D3" s="1">
        <f>89.6-89.9</f>
        <v>-0.30000000000001137</v>
      </c>
      <c r="E3" s="1">
        <v>0</v>
      </c>
    </row>
    <row r="4" spans="1:5" x14ac:dyDescent="0.25">
      <c r="A4" s="1">
        <v>4</v>
      </c>
      <c r="B4" s="1">
        <f>0.756-0.744</f>
        <v>1.2000000000000011E-2</v>
      </c>
      <c r="C4" s="1">
        <f>101-105.5</f>
        <v>-4.5</v>
      </c>
      <c r="D4" s="1">
        <f>94.4-97.8</f>
        <v>-3.3999999999999915</v>
      </c>
      <c r="E4" s="1">
        <v>-2</v>
      </c>
    </row>
    <row r="5" spans="1:5" x14ac:dyDescent="0.25">
      <c r="A5" s="1">
        <v>5</v>
      </c>
      <c r="B5" s="1">
        <f>0.756-0.622</f>
        <v>0.13400000000000001</v>
      </c>
      <c r="C5" s="1">
        <f>96.7-96.6</f>
        <v>0.10000000000000853</v>
      </c>
      <c r="D5" s="1">
        <f>89.6-94.6</f>
        <v>-5</v>
      </c>
      <c r="E5" s="1">
        <v>2</v>
      </c>
    </row>
    <row r="6" spans="1:5" x14ac:dyDescent="0.25">
      <c r="A6" s="1">
        <v>5</v>
      </c>
      <c r="B6" s="1">
        <f>0.707-0.524</f>
        <v>0.18299999999999994</v>
      </c>
      <c r="C6" s="1">
        <f>96-91.6</f>
        <v>4.4000000000000057</v>
      </c>
      <c r="D6" s="1">
        <f>89.9-89.1</f>
        <v>0.80000000000001137</v>
      </c>
      <c r="E6" s="1">
        <v>1</v>
      </c>
    </row>
    <row r="7" spans="1:5" x14ac:dyDescent="0.25">
      <c r="A7" s="1">
        <v>5</v>
      </c>
      <c r="B7" s="1">
        <f>0.744-0.744</f>
        <v>0</v>
      </c>
      <c r="C7" s="1">
        <f>105.5-100.6</f>
        <v>4.9000000000000057</v>
      </c>
      <c r="D7" s="1">
        <f>97.8-93.4</f>
        <v>4.3999999999999915</v>
      </c>
      <c r="E7" s="1">
        <v>-2</v>
      </c>
    </row>
    <row r="8" spans="1:5" x14ac:dyDescent="0.25">
      <c r="A8" s="1">
        <v>5</v>
      </c>
      <c r="B8" s="1">
        <f>0.756-0.683</f>
        <v>7.2999999999999954E-2</v>
      </c>
      <c r="C8" s="1">
        <f>101-92.5</f>
        <v>8.5</v>
      </c>
      <c r="D8" s="1">
        <f>94.4-88.5</f>
        <v>5.9000000000000057</v>
      </c>
      <c r="E8" s="1">
        <v>2</v>
      </c>
    </row>
    <row r="9" spans="1:5" x14ac:dyDescent="0.25">
      <c r="A9" s="1">
        <v>5</v>
      </c>
      <c r="B9" s="1">
        <f>0.74-0.54</f>
        <v>0.19999999999999996</v>
      </c>
      <c r="C9" s="1">
        <f>92.8-86.4</f>
        <v>6.3999999999999915</v>
      </c>
      <c r="D9" s="1">
        <f>84.7-85.4</f>
        <v>-0.70000000000000284</v>
      </c>
      <c r="E9" s="1">
        <v>0</v>
      </c>
    </row>
    <row r="10" spans="1:5" x14ac:dyDescent="0.25">
      <c r="A10" s="1">
        <v>6</v>
      </c>
      <c r="B10" s="1">
        <f>0.54-0.66</f>
        <v>-0.12</v>
      </c>
      <c r="C10" s="1">
        <f>86.4-94.7</f>
        <v>-8.2999999999999972</v>
      </c>
      <c r="D10" s="1">
        <f>85.4-90.9</f>
        <v>-5.5</v>
      </c>
      <c r="E10" s="1">
        <v>-1</v>
      </c>
    </row>
    <row r="11" spans="1:5" x14ac:dyDescent="0.25">
      <c r="A11" s="1">
        <v>4</v>
      </c>
      <c r="B11" s="1">
        <f>0.74-0.7</f>
        <v>4.0000000000000036E-2</v>
      </c>
      <c r="C11" s="1">
        <f>92.8-94.8</f>
        <v>-2</v>
      </c>
      <c r="D11" s="1">
        <f>84.7-88.5</f>
        <v>-3.7999999999999972</v>
      </c>
      <c r="E11" s="1">
        <v>2</v>
      </c>
    </row>
    <row r="12" spans="1:5" x14ac:dyDescent="0.25">
      <c r="A12" s="1">
        <v>4</v>
      </c>
      <c r="B12" s="1">
        <f>0.66-0.56</f>
        <v>9.9999999999999978E-2</v>
      </c>
      <c r="C12" s="1">
        <f>94.7-89.7</f>
        <v>5</v>
      </c>
      <c r="D12" s="1">
        <f>90.9-87.6</f>
        <v>3.3000000000000114</v>
      </c>
      <c r="E12" s="1">
        <v>-1</v>
      </c>
    </row>
    <row r="13" spans="1:5" x14ac:dyDescent="0.25">
      <c r="A13" s="1">
        <v>4</v>
      </c>
      <c r="B13" s="1">
        <f>0.54-0.62</f>
        <v>-7.999999999999996E-2</v>
      </c>
      <c r="C13" s="1">
        <f>86.4-86.3</f>
        <v>0.10000000000000853</v>
      </c>
      <c r="D13" s="1">
        <f>85.4-83.4</f>
        <v>2</v>
      </c>
      <c r="E13" s="1">
        <v>-1</v>
      </c>
    </row>
    <row r="14" spans="1:5" x14ac:dyDescent="0.25">
      <c r="A14" s="1">
        <v>6</v>
      </c>
      <c r="B14" s="1">
        <f>0.7-0.74</f>
        <v>-4.0000000000000036E-2</v>
      </c>
      <c r="C14" s="1">
        <f>94.8-93.3</f>
        <v>1.5</v>
      </c>
      <c r="D14" s="1">
        <f>88.5-86.8</f>
        <v>1.7000000000000028</v>
      </c>
      <c r="E14" s="1">
        <v>-1</v>
      </c>
    </row>
    <row r="15" spans="1:5" x14ac:dyDescent="0.25">
      <c r="A15" s="1">
        <v>4</v>
      </c>
      <c r="B15" s="1">
        <f>0.74-0.62</f>
        <v>0.12</v>
      </c>
      <c r="C15" s="1">
        <f>92.8-99</f>
        <v>-6.2000000000000028</v>
      </c>
      <c r="D15" s="1">
        <f>84.7-96</f>
        <v>-11.299999999999997</v>
      </c>
      <c r="E15" s="1">
        <v>3</v>
      </c>
    </row>
    <row r="16" spans="1:5" x14ac:dyDescent="0.25">
      <c r="A16" s="1">
        <v>6</v>
      </c>
      <c r="B16" s="1">
        <f>0.817-0.683</f>
        <v>0.1339999999999999</v>
      </c>
      <c r="C16" s="1">
        <f>100.8-101.3</f>
        <v>-0.5</v>
      </c>
      <c r="D16" s="1">
        <f>92.3-96.7</f>
        <v>-4.4000000000000057</v>
      </c>
      <c r="E16" s="1">
        <v>0</v>
      </c>
    </row>
    <row r="17" spans="1:5" x14ac:dyDescent="0.25">
      <c r="A17" s="1">
        <v>6</v>
      </c>
      <c r="B17" s="1">
        <f>0.683-0.61</f>
        <v>7.3000000000000065E-2</v>
      </c>
      <c r="C17" s="1">
        <f>101.3-92.1</f>
        <v>9.2000000000000028</v>
      </c>
      <c r="D17" s="1">
        <f>96.7-90.7</f>
        <v>6</v>
      </c>
      <c r="E17" s="1">
        <v>0</v>
      </c>
    </row>
    <row r="18" spans="1:5" x14ac:dyDescent="0.25">
      <c r="A18" s="1">
        <v>7</v>
      </c>
      <c r="B18" s="1">
        <f>0.817-0.72</f>
        <v>9.6999999999999975E-2</v>
      </c>
      <c r="C18" s="1">
        <f>100.8-97.5</f>
        <v>3.2999999999999972</v>
      </c>
      <c r="D18" s="1">
        <f>92.3-91</f>
        <v>1.2999999999999972</v>
      </c>
      <c r="E18" s="1">
        <v>0</v>
      </c>
    </row>
    <row r="19" spans="1:5" x14ac:dyDescent="0.25">
      <c r="A19" s="1">
        <v>6</v>
      </c>
      <c r="B19" s="1">
        <f>0.683-0.598</f>
        <v>8.5000000000000075E-2</v>
      </c>
      <c r="C19" s="1">
        <f>101.3-94.8</f>
        <v>6.5</v>
      </c>
      <c r="D19" s="1">
        <f>96.7-93.4</f>
        <v>3.2999999999999972</v>
      </c>
      <c r="E19" s="1">
        <v>0</v>
      </c>
    </row>
    <row r="20" spans="1:5" x14ac:dyDescent="0.25">
      <c r="A20" s="1">
        <v>7</v>
      </c>
      <c r="B20" s="1">
        <f>0.61-0.634</f>
        <v>-2.4000000000000021E-2</v>
      </c>
      <c r="C20" s="1">
        <f>92.1-94.4</f>
        <v>-2.3000000000000114</v>
      </c>
      <c r="D20" s="1">
        <f>90.7-91.3</f>
        <v>-0.59999999999999432</v>
      </c>
      <c r="E20" s="1">
        <v>-2</v>
      </c>
    </row>
    <row r="21" spans="1:5" x14ac:dyDescent="0.25">
      <c r="A21" s="1">
        <v>5</v>
      </c>
      <c r="B21" s="1">
        <f>0.817-0.646</f>
        <v>0.17099999999999993</v>
      </c>
      <c r="C21" s="1">
        <f>100.8-98.9</f>
        <v>1.8999999999999915</v>
      </c>
      <c r="D21" s="1">
        <f>92.3-93.7</f>
        <v>-1.4000000000000057</v>
      </c>
      <c r="E21" s="1">
        <v>4</v>
      </c>
    </row>
    <row r="22" spans="1:5" x14ac:dyDescent="0.25">
      <c r="A22" s="1">
        <v>5</v>
      </c>
      <c r="B22" s="1">
        <f>0.72-0.671</f>
        <v>4.8999999999999932E-2</v>
      </c>
      <c r="C22" s="1">
        <f>97.5-96.5</f>
        <v>1</v>
      </c>
      <c r="D22" s="1">
        <f>91-92</f>
        <v>-1</v>
      </c>
      <c r="E22" s="1">
        <v>2</v>
      </c>
    </row>
    <row r="23" spans="1:5" x14ac:dyDescent="0.25">
      <c r="A23" s="1">
        <v>5</v>
      </c>
      <c r="B23" s="1">
        <f>0.683-0.683</f>
        <v>0</v>
      </c>
      <c r="C23" s="1">
        <f>100.6-94.7</f>
        <v>5.8999999999999915</v>
      </c>
      <c r="D23" s="1">
        <f>97.2-90.4</f>
        <v>6.7999999999999972</v>
      </c>
      <c r="E23" s="1">
        <v>0</v>
      </c>
    </row>
    <row r="24" spans="1:5" x14ac:dyDescent="0.25">
      <c r="A24" s="1">
        <v>7</v>
      </c>
      <c r="B24" s="1">
        <f>0.683-0.634</f>
        <v>4.9000000000000044E-2</v>
      </c>
      <c r="C24" s="1">
        <f>94.7-100.7</f>
        <v>-6</v>
      </c>
      <c r="D24" s="1">
        <f>90.4-96.9</f>
        <v>-6.5</v>
      </c>
      <c r="E24" s="1">
        <v>0</v>
      </c>
    </row>
    <row r="25" spans="1:5" x14ac:dyDescent="0.25">
      <c r="A25" s="1">
        <v>4</v>
      </c>
      <c r="B25" s="1">
        <f>0.683-0.707</f>
        <v>-2.399999999999991E-2</v>
      </c>
      <c r="C25" s="1">
        <f>100.6-96.2</f>
        <v>4.3999999999999915</v>
      </c>
      <c r="D25" s="1">
        <f>97.2-88.4</f>
        <v>8.7999999999999972</v>
      </c>
      <c r="E25" s="1">
        <v>0</v>
      </c>
    </row>
    <row r="26" spans="1:5" x14ac:dyDescent="0.25">
      <c r="A26" s="1">
        <v>7</v>
      </c>
      <c r="B26" s="1">
        <f>0.634-0.561</f>
        <v>7.2999999999999954E-2</v>
      </c>
      <c r="C26" s="1">
        <f>100.7-91.9</f>
        <v>8.7999999999999972</v>
      </c>
      <c r="D26" s="1">
        <f>96.9-89.8</f>
        <v>7.1000000000000085</v>
      </c>
      <c r="E26" s="1">
        <v>-2</v>
      </c>
    </row>
    <row r="27" spans="1:5" x14ac:dyDescent="0.25">
      <c r="A27" s="1">
        <v>7</v>
      </c>
      <c r="B27" s="1">
        <f>0.683-0.573</f>
        <v>0.1100000000000001</v>
      </c>
      <c r="C27" s="1">
        <f>94.7-97.6</f>
        <v>-2.8999999999999915</v>
      </c>
      <c r="D27" s="1">
        <f>90.4-95.4</f>
        <v>-5</v>
      </c>
      <c r="E27" s="1">
        <v>-2</v>
      </c>
    </row>
    <row r="28" spans="1:5" x14ac:dyDescent="0.25">
      <c r="A28" s="1">
        <v>4</v>
      </c>
      <c r="B28" s="1">
        <f>0.683-0.671</f>
        <v>1.2000000000000011E-2</v>
      </c>
      <c r="C28" s="1">
        <f>100.6-101.7</f>
        <v>-1.1000000000000085</v>
      </c>
      <c r="D28" s="1">
        <f>97.2-95.9</f>
        <v>1.2999999999999972</v>
      </c>
      <c r="E28" s="1">
        <v>2</v>
      </c>
    </row>
    <row r="29" spans="1:5" x14ac:dyDescent="0.25">
      <c r="A29" s="1">
        <v>5</v>
      </c>
      <c r="B29" s="1">
        <f>0.707-0.646</f>
        <v>6.0999999999999943E-2</v>
      </c>
      <c r="C29" s="1">
        <f>96.2-100.5</f>
        <v>-4.2999999999999972</v>
      </c>
      <c r="D29" s="1">
        <f>88.4-96.2</f>
        <v>-7.7999999999999972</v>
      </c>
      <c r="E29" s="1">
        <v>2</v>
      </c>
    </row>
    <row r="30" spans="1:5" x14ac:dyDescent="0.25">
      <c r="A30" s="1">
        <v>4</v>
      </c>
      <c r="B30" s="1">
        <f>0.707-0.634</f>
        <v>7.2999999999999954E-2</v>
      </c>
      <c r="C30" s="1">
        <f>101.3-96.2</f>
        <v>5.0999999999999943</v>
      </c>
      <c r="D30" s="1">
        <f>94.1-92</f>
        <v>2.0999999999999943</v>
      </c>
      <c r="E30" s="1">
        <v>0</v>
      </c>
    </row>
    <row r="31" spans="1:5" x14ac:dyDescent="0.25">
      <c r="A31" s="1">
        <v>6</v>
      </c>
      <c r="B31" s="1">
        <f>0.634-0.598</f>
        <v>3.6000000000000032E-2</v>
      </c>
      <c r="C31" s="1">
        <f>96.2-96.4</f>
        <v>-0.20000000000000284</v>
      </c>
      <c r="D31" s="1">
        <f>92-94.1</f>
        <v>-2.0999999999999943</v>
      </c>
      <c r="E31" s="1">
        <v>-2</v>
      </c>
    </row>
    <row r="32" spans="1:5" x14ac:dyDescent="0.25">
      <c r="A32" s="1">
        <v>7</v>
      </c>
      <c r="B32" s="1">
        <f>0.707-0.744</f>
        <v>-3.7000000000000033E-2</v>
      </c>
      <c r="C32" s="1">
        <f>101.3-104.6</f>
        <v>-3.2999999999999972</v>
      </c>
      <c r="D32" s="1">
        <f>94.1-97</f>
        <v>-2.9000000000000057</v>
      </c>
      <c r="E32" s="1">
        <v>2</v>
      </c>
    </row>
    <row r="33" spans="1:5" x14ac:dyDescent="0.25">
      <c r="A33" s="1">
        <v>5</v>
      </c>
      <c r="B33" s="1">
        <f>0.598-0.61</f>
        <v>-1.2000000000000011E-2</v>
      </c>
      <c r="C33" s="1">
        <f>96.4-94.3</f>
        <v>2.1000000000000085</v>
      </c>
      <c r="D33" s="1">
        <f>94.1-92.2</f>
        <v>1.8999999999999915</v>
      </c>
      <c r="E33" s="1">
        <v>0</v>
      </c>
    </row>
    <row r="34" spans="1:5" x14ac:dyDescent="0.25">
      <c r="A34" s="1">
        <v>5</v>
      </c>
      <c r="B34" s="1">
        <f>0.634-0.537</f>
        <v>9.6999999999999975E-2</v>
      </c>
      <c r="C34" s="1">
        <f>96.2-93.9</f>
        <v>2.2999999999999972</v>
      </c>
      <c r="D34" s="1">
        <f>92-92.9</f>
        <v>-0.90000000000000568</v>
      </c>
      <c r="E34" s="1">
        <v>2</v>
      </c>
    </row>
    <row r="35" spans="1:5" x14ac:dyDescent="0.25">
      <c r="A35" s="1">
        <v>5</v>
      </c>
      <c r="B35" s="1">
        <f>0.707-0.707</f>
        <v>0</v>
      </c>
      <c r="C35" s="1">
        <f>101.3-96.7</f>
        <v>4.5999999999999943</v>
      </c>
      <c r="D35" s="1">
        <f>94.1-90.5</f>
        <v>3.5999999999999943</v>
      </c>
      <c r="E35" s="1">
        <v>2</v>
      </c>
    </row>
    <row r="36" spans="1:5" x14ac:dyDescent="0.25">
      <c r="A36" s="1">
        <v>5</v>
      </c>
      <c r="B36" s="1">
        <f>0.744-0.695</f>
        <v>4.9000000000000044E-2</v>
      </c>
      <c r="C36" s="1">
        <f>104.6-105.2</f>
        <v>-0.60000000000000853</v>
      </c>
      <c r="D36" s="1">
        <f>97-101</f>
        <v>-4</v>
      </c>
      <c r="E36" s="1">
        <v>-2</v>
      </c>
    </row>
    <row r="37" spans="1:5" x14ac:dyDescent="0.25">
      <c r="A37" s="1">
        <v>6</v>
      </c>
      <c r="B37" s="1">
        <f>0.732-0.598</f>
        <v>0.13400000000000001</v>
      </c>
      <c r="C37" s="1">
        <f>95.8-95.4</f>
        <v>0.39999999999999147</v>
      </c>
      <c r="D37" s="1">
        <f>90.4-90.1</f>
        <v>0.30000000000001137</v>
      </c>
      <c r="E37" s="1">
        <v>0</v>
      </c>
    </row>
    <row r="38" spans="1:5" x14ac:dyDescent="0.25">
      <c r="A38" s="1">
        <v>4</v>
      </c>
      <c r="B38" s="1">
        <f>0.598-0.61</f>
        <v>-1.2000000000000011E-2</v>
      </c>
      <c r="C38" s="1">
        <f>95.4-91.4</f>
        <v>4</v>
      </c>
      <c r="D38" s="1">
        <f>90.1-87.7</f>
        <v>2.3999999999999915</v>
      </c>
      <c r="E38" s="1">
        <v>-1</v>
      </c>
    </row>
    <row r="39" spans="1:5" x14ac:dyDescent="0.25">
      <c r="A39" s="1">
        <v>6</v>
      </c>
      <c r="B39" s="1">
        <f>0.732-0.732</f>
        <v>0</v>
      </c>
      <c r="C39" s="1">
        <f>95.8-103</f>
        <v>-7.2000000000000028</v>
      </c>
      <c r="D39" s="1">
        <f>90.4-95.2</f>
        <v>-4.7999999999999972</v>
      </c>
      <c r="E39" s="1">
        <v>0</v>
      </c>
    </row>
    <row r="40" spans="1:5" x14ac:dyDescent="0.25">
      <c r="A40" s="1">
        <v>6</v>
      </c>
      <c r="B40" s="1">
        <f>0.61-0.585</f>
        <v>2.5000000000000022E-2</v>
      </c>
      <c r="C40" s="1">
        <f>91.4-96.8</f>
        <v>-5.3999999999999915</v>
      </c>
      <c r="D40" s="1">
        <f>87.7-94.5</f>
        <v>-6.7999999999999972</v>
      </c>
      <c r="E40" s="1">
        <v>0</v>
      </c>
    </row>
    <row r="41" spans="1:5" x14ac:dyDescent="0.25">
      <c r="A41" s="1">
        <v>4</v>
      </c>
      <c r="B41" s="1">
        <f>0.598-0.537</f>
        <v>6.0999999999999943E-2</v>
      </c>
      <c r="C41" s="1">
        <f>95.4-92.7</f>
        <v>2.7000000000000028</v>
      </c>
      <c r="D41" s="1">
        <f>90.1-93.1</f>
        <v>-3</v>
      </c>
      <c r="E41" s="1">
        <v>2</v>
      </c>
    </row>
    <row r="42" spans="1:5" x14ac:dyDescent="0.25">
      <c r="A42" s="1">
        <v>7</v>
      </c>
      <c r="B42" s="1">
        <f>0.732-0.72</f>
        <v>1.2000000000000011E-2</v>
      </c>
      <c r="C42" s="1">
        <f>103-101.7</f>
        <v>1.2999999999999972</v>
      </c>
      <c r="D42" s="1">
        <f>95.2-95.2</f>
        <v>0</v>
      </c>
      <c r="E42" s="1">
        <v>-2</v>
      </c>
    </row>
    <row r="43" spans="1:5" x14ac:dyDescent="0.25">
      <c r="A43" s="1">
        <v>6</v>
      </c>
      <c r="B43" s="1">
        <f>0.732-0.61</f>
        <v>0.122</v>
      </c>
      <c r="C43" s="1">
        <f>95.8-100.4</f>
        <v>-4.6000000000000085</v>
      </c>
      <c r="D43" s="1">
        <f>90.4-98</f>
        <v>-7.5999999999999943</v>
      </c>
      <c r="E43" s="1">
        <v>4</v>
      </c>
    </row>
    <row r="44" spans="1:5" x14ac:dyDescent="0.25">
      <c r="A44" s="1">
        <v>6</v>
      </c>
      <c r="B44" s="1">
        <f>0.537-0.585</f>
        <v>-4.7999999999999932E-2</v>
      </c>
      <c r="C44" s="1">
        <f>92.7-96.8</f>
        <v>-4.0999999999999943</v>
      </c>
      <c r="D44" s="1">
        <f>93.1-93.3</f>
        <v>-0.20000000000000284</v>
      </c>
      <c r="E44" s="1">
        <v>0</v>
      </c>
    </row>
    <row r="45" spans="1:5" x14ac:dyDescent="0.25">
      <c r="A45" s="1">
        <v>7</v>
      </c>
      <c r="B45" s="1">
        <f>0.61-0.512</f>
        <v>9.7999999999999976E-2</v>
      </c>
      <c r="C45" s="1">
        <f>91.4-98.5</f>
        <v>-7.0999999999999943</v>
      </c>
      <c r="D45" s="1">
        <f>87.7-98.4</f>
        <v>-10.700000000000003</v>
      </c>
      <c r="E45" s="1">
        <v>1</v>
      </c>
    </row>
    <row r="46" spans="1:5" x14ac:dyDescent="0.25">
      <c r="A46" s="1">
        <v>6</v>
      </c>
      <c r="B46" s="1">
        <f>0.598-0.512</f>
        <v>8.5999999999999965E-2</v>
      </c>
      <c r="C46" s="1">
        <f>95.4-99.5</f>
        <v>-4.0999999999999943</v>
      </c>
      <c r="D46" s="1">
        <f>90.1-99.3</f>
        <v>-9.2000000000000028</v>
      </c>
      <c r="E46" s="1">
        <v>0</v>
      </c>
    </row>
    <row r="47" spans="1:5" x14ac:dyDescent="0.25">
      <c r="A47" s="1">
        <v>6</v>
      </c>
      <c r="B47" s="1">
        <f>0.585-0.573</f>
        <v>1.2000000000000011E-2</v>
      </c>
      <c r="C47" s="1">
        <f>96.8-93.9</f>
        <v>2.8999999999999915</v>
      </c>
      <c r="D47" s="1">
        <f>94.5-91.8</f>
        <v>2.7000000000000028</v>
      </c>
      <c r="E47" s="1">
        <v>-1</v>
      </c>
    </row>
    <row r="48" spans="1:5" x14ac:dyDescent="0.25">
      <c r="A48" s="1">
        <v>7</v>
      </c>
      <c r="B48" s="1">
        <f>0.732-0.61</f>
        <v>0.122</v>
      </c>
      <c r="C48" s="1">
        <f>103-95.2</f>
        <v>7.7999999999999972</v>
      </c>
      <c r="D48" s="1">
        <f>95.2-92.5</f>
        <v>2.7000000000000028</v>
      </c>
      <c r="E48" s="1">
        <v>0</v>
      </c>
    </row>
    <row r="49" spans="1:5" x14ac:dyDescent="0.25">
      <c r="A49" s="1">
        <v>6</v>
      </c>
      <c r="B49" s="1">
        <f>0.61-0.622</f>
        <v>-1.2000000000000011E-2</v>
      </c>
      <c r="C49" s="1">
        <f>100.4-98.1</f>
        <v>2.3000000000000114</v>
      </c>
      <c r="D49" s="1">
        <f>98-96</f>
        <v>2</v>
      </c>
      <c r="E49" s="1">
        <v>0</v>
      </c>
    </row>
    <row r="50" spans="1:5" x14ac:dyDescent="0.25">
      <c r="A50" s="1">
        <v>5</v>
      </c>
      <c r="B50" s="1">
        <f>0.72-0.573</f>
        <v>0.14700000000000002</v>
      </c>
      <c r="C50" s="1">
        <f>101.7-94.7</f>
        <v>7</v>
      </c>
      <c r="D50" s="1">
        <f>95.2-92.3</f>
        <v>2.9000000000000057</v>
      </c>
      <c r="E50" s="1">
        <v>2</v>
      </c>
    </row>
    <row r="51" spans="1:5" x14ac:dyDescent="0.25">
      <c r="A51" s="1">
        <v>6</v>
      </c>
      <c r="B51" s="1">
        <f>0.732-0.537</f>
        <v>0.19499999999999995</v>
      </c>
      <c r="C51" s="1">
        <f>95.8-95.5</f>
        <v>0.29999999999999716</v>
      </c>
      <c r="D51" s="1">
        <f>90.4-94.4</f>
        <v>-4</v>
      </c>
      <c r="E51" s="1">
        <v>-2</v>
      </c>
    </row>
    <row r="52" spans="1:5" x14ac:dyDescent="0.25">
      <c r="A52" s="1">
        <v>5</v>
      </c>
      <c r="B52" s="1">
        <f>0.659-0.683</f>
        <v>-2.4000000000000021E-2</v>
      </c>
      <c r="C52" s="1">
        <f>90.1-98.2</f>
        <v>-8.1000000000000085</v>
      </c>
      <c r="D52" s="1">
        <f>84.3-94.3</f>
        <v>-10</v>
      </c>
      <c r="E52" s="1">
        <v>0</v>
      </c>
    </row>
    <row r="53" spans="1:5" x14ac:dyDescent="0.25">
      <c r="A53" s="1">
        <v>6</v>
      </c>
      <c r="B53" s="1">
        <f>0.659-0.744</f>
        <v>-8.4999999999999964E-2</v>
      </c>
      <c r="C53" s="1">
        <f>90.1-91.4</f>
        <v>-1.3000000000000114</v>
      </c>
      <c r="D53" s="1">
        <f>84.3-85.6</f>
        <v>-1.2999999999999972</v>
      </c>
      <c r="E53" s="1">
        <v>-2</v>
      </c>
    </row>
    <row r="54" spans="1:5" x14ac:dyDescent="0.25">
      <c r="A54" s="1">
        <v>6</v>
      </c>
      <c r="B54" s="1">
        <f>0.683-0.707</f>
        <v>-2.399999999999991E-2</v>
      </c>
      <c r="C54" s="1">
        <f>98.2-94.5</f>
        <v>3.7000000000000028</v>
      </c>
      <c r="D54" s="1">
        <f>94.3-89.1</f>
        <v>5.2000000000000028</v>
      </c>
      <c r="E54" s="1">
        <v>-2</v>
      </c>
    </row>
    <row r="55" spans="1:5" x14ac:dyDescent="0.25">
      <c r="A55" s="1">
        <v>7</v>
      </c>
      <c r="B55" s="1">
        <f>0.659-0.573</f>
        <v>8.6000000000000076E-2</v>
      </c>
      <c r="C55" s="1">
        <f>90.1-90.3</f>
        <v>-0.20000000000000284</v>
      </c>
      <c r="D55" s="1">
        <f>84.3-87.8</f>
        <v>-3.5</v>
      </c>
      <c r="E55" s="1">
        <v>0</v>
      </c>
    </row>
    <row r="56" spans="1:5" x14ac:dyDescent="0.25">
      <c r="A56" s="1">
        <v>6</v>
      </c>
      <c r="B56" s="1">
        <f>0.744-0.512</f>
        <v>0.23199999999999998</v>
      </c>
      <c r="C56" s="1">
        <f>91.4-90.3</f>
        <v>1.1000000000000085</v>
      </c>
      <c r="D56" s="1">
        <f>85.6-89.7</f>
        <v>-4.1000000000000085</v>
      </c>
      <c r="E56" s="1">
        <v>3</v>
      </c>
    </row>
    <row r="57" spans="1:5" x14ac:dyDescent="0.25">
      <c r="A57" s="1">
        <v>6</v>
      </c>
      <c r="B57" s="1">
        <f>0.683-0.695</f>
        <v>-1.19999999999999E-2</v>
      </c>
      <c r="C57" s="1">
        <f>98.2-91.5</f>
        <v>6.7000000000000028</v>
      </c>
      <c r="D57" s="1">
        <f>94.3-84.3</f>
        <v>10</v>
      </c>
      <c r="E57" s="1">
        <v>2</v>
      </c>
    </row>
    <row r="58" spans="1:5" x14ac:dyDescent="0.25">
      <c r="A58" s="1">
        <v>7</v>
      </c>
      <c r="B58" s="1">
        <f>0.707-0.671</f>
        <v>3.5999999999999921E-2</v>
      </c>
      <c r="C58" s="1">
        <f>94.5-102.8</f>
        <v>-8.2999999999999972</v>
      </c>
      <c r="D58" s="1">
        <f>89.1-97.8</f>
        <v>-8.7000000000000028</v>
      </c>
      <c r="E58" s="1">
        <v>2</v>
      </c>
    </row>
    <row r="59" spans="1:5" x14ac:dyDescent="0.25">
      <c r="A59" s="1">
        <v>5</v>
      </c>
      <c r="B59" s="1">
        <f>0.659-0.5</f>
        <v>0.15900000000000003</v>
      </c>
      <c r="C59" s="1">
        <f>90.1-98</f>
        <v>-7.9000000000000057</v>
      </c>
      <c r="D59" s="1">
        <f>84.3-97</f>
        <v>-12.700000000000003</v>
      </c>
      <c r="E59" s="1">
        <v>2</v>
      </c>
    </row>
    <row r="60" spans="1:5" x14ac:dyDescent="0.25">
      <c r="A60" s="1">
        <v>4</v>
      </c>
      <c r="B60" s="1">
        <f>0.744-0.439</f>
        <v>0.30499999999999999</v>
      </c>
      <c r="C60" s="1">
        <f>91.4-95.3</f>
        <v>-3.8999999999999915</v>
      </c>
      <c r="D60" s="1">
        <f>85.6-96.7</f>
        <v>-11.100000000000009</v>
      </c>
      <c r="E60" s="1">
        <v>2</v>
      </c>
    </row>
    <row r="61" spans="1:5" x14ac:dyDescent="0.25">
      <c r="A61" s="1">
        <v>7</v>
      </c>
      <c r="B61" s="1">
        <f>0.512-0.5</f>
        <v>1.2000000000000011E-2</v>
      </c>
      <c r="C61" s="1">
        <f>90.3-91.8</f>
        <v>-1.5</v>
      </c>
      <c r="D61" s="1">
        <f>89.7-91.9</f>
        <v>-2.2000000000000028</v>
      </c>
      <c r="E61" s="1">
        <v>2</v>
      </c>
    </row>
    <row r="62" spans="1:5" x14ac:dyDescent="0.25">
      <c r="A62" s="1">
        <v>4</v>
      </c>
      <c r="B62" s="1">
        <f>0.573-0.476</f>
        <v>9.6999999999999975E-2</v>
      </c>
      <c r="C62" s="1">
        <f>90.3-92</f>
        <v>-1.7000000000000028</v>
      </c>
      <c r="D62" s="1">
        <f>87.8-93.5</f>
        <v>-5.7000000000000028</v>
      </c>
      <c r="E62" s="1">
        <v>2</v>
      </c>
    </row>
    <row r="63" spans="1:5" x14ac:dyDescent="0.25">
      <c r="A63" s="1">
        <v>5</v>
      </c>
      <c r="B63" s="1">
        <f>0.683-0.549</f>
        <v>0.13400000000000001</v>
      </c>
      <c r="C63" s="1">
        <f>98.2-89.8</f>
        <v>8.4000000000000057</v>
      </c>
      <c r="D63" s="1">
        <f>94.3-88</f>
        <v>6.2999999999999972</v>
      </c>
      <c r="E63" s="1">
        <v>0</v>
      </c>
    </row>
    <row r="64" spans="1:5" x14ac:dyDescent="0.25">
      <c r="A64" s="1">
        <v>5</v>
      </c>
      <c r="B64" s="1">
        <f>0.707-0.524</f>
        <v>0.18299999999999994</v>
      </c>
      <c r="C64" s="1">
        <f>94.5-97.2</f>
        <v>-2.7000000000000028</v>
      </c>
      <c r="D64" s="1">
        <f>89.1-96.1</f>
        <v>-7</v>
      </c>
      <c r="E64" s="1">
        <v>2</v>
      </c>
    </row>
    <row r="65" spans="1:5" x14ac:dyDescent="0.25">
      <c r="A65" s="1">
        <v>5</v>
      </c>
      <c r="B65" s="1">
        <f>0.671-0.634</f>
        <v>3.7000000000000033E-2</v>
      </c>
      <c r="C65" s="1">
        <f>102.8-105.2</f>
        <v>-2.4000000000000057</v>
      </c>
      <c r="D65" s="1">
        <f>97.8-100.8</f>
        <v>-3</v>
      </c>
      <c r="E65" s="1">
        <v>-2</v>
      </c>
    </row>
    <row r="66" spans="1:5" x14ac:dyDescent="0.25">
      <c r="A66" s="1">
        <v>4</v>
      </c>
      <c r="B66" s="1">
        <f>0.695-0.61</f>
        <v>8.4999999999999964E-2</v>
      </c>
      <c r="C66" s="1">
        <f>91.5-96.7</f>
        <v>-5.2000000000000028</v>
      </c>
      <c r="D66" s="1">
        <f>84.3-94.3</f>
        <v>-10</v>
      </c>
      <c r="E66" s="1">
        <v>-2</v>
      </c>
    </row>
    <row r="67" spans="1:5" x14ac:dyDescent="0.25">
      <c r="A67" s="1">
        <v>7</v>
      </c>
      <c r="B67" s="1">
        <f>0.72-0.659</f>
        <v>6.0999999999999943E-2</v>
      </c>
      <c r="C67" s="1">
        <f>96.2-93.3</f>
        <v>2.9000000000000057</v>
      </c>
      <c r="D67" s="1">
        <f>88.4-89.5</f>
        <v>-1.0999999999999943</v>
      </c>
      <c r="E67" s="1">
        <v>0</v>
      </c>
    </row>
    <row r="68" spans="1:5" x14ac:dyDescent="0.25">
      <c r="A68" s="1">
        <v>7</v>
      </c>
      <c r="B68" s="1">
        <f>0.659-0.72</f>
        <v>-6.0999999999999943E-2</v>
      </c>
      <c r="C68" s="1">
        <f>93.3-101.5</f>
        <v>-8.2000000000000028</v>
      </c>
      <c r="D68" s="1">
        <f>89.5-95</f>
        <v>-5.5</v>
      </c>
      <c r="E68" s="1">
        <v>1</v>
      </c>
    </row>
    <row r="69" spans="1:5" x14ac:dyDescent="0.25">
      <c r="A69" s="1">
        <v>5</v>
      </c>
      <c r="B69" s="1">
        <f>0.72-0.756</f>
        <v>-3.6000000000000032E-2</v>
      </c>
      <c r="C69" s="1">
        <f>96.2-110.4</f>
        <v>-14.200000000000003</v>
      </c>
      <c r="D69" s="1">
        <f>88.4-103.3</f>
        <v>-14.899999999999991</v>
      </c>
      <c r="E69" s="1">
        <v>1</v>
      </c>
    </row>
    <row r="70" spans="1:5" x14ac:dyDescent="0.25">
      <c r="A70" s="1">
        <v>6</v>
      </c>
      <c r="B70" s="1">
        <f>0.659-0.537</f>
        <v>0.122</v>
      </c>
      <c r="C70" s="1">
        <f>93.3-93</f>
        <v>0.29999999999999716</v>
      </c>
      <c r="D70" s="1">
        <f>89.5-92.2</f>
        <v>-2.7000000000000028</v>
      </c>
      <c r="E70" s="1">
        <v>0</v>
      </c>
    </row>
    <row r="71" spans="1:5" x14ac:dyDescent="0.25">
      <c r="A71" s="1">
        <v>4</v>
      </c>
      <c r="B71" s="1">
        <f>0.72-0.549</f>
        <v>0.17099999999999993</v>
      </c>
      <c r="C71" s="1">
        <f>101.5-100.5</f>
        <v>1</v>
      </c>
      <c r="D71" s="1">
        <f>95-100.8</f>
        <v>-5.7999999999999972</v>
      </c>
      <c r="E71" s="1">
        <v>4</v>
      </c>
    </row>
    <row r="72" spans="1:5" x14ac:dyDescent="0.25">
      <c r="A72" s="1">
        <v>6</v>
      </c>
      <c r="B72" s="1">
        <f>0.756-0.707</f>
        <v>4.9000000000000044E-2</v>
      </c>
      <c r="C72" s="1">
        <f>110.4-102.5</f>
        <v>7.9000000000000057</v>
      </c>
      <c r="D72" s="1">
        <f>103.3-96.8</f>
        <v>6.5</v>
      </c>
      <c r="E72" s="1">
        <v>2</v>
      </c>
    </row>
    <row r="73" spans="1:5" x14ac:dyDescent="0.25">
      <c r="A73" s="1">
        <v>6</v>
      </c>
      <c r="B73" s="1">
        <f>0.72-0.634</f>
        <v>8.5999999999999965E-2</v>
      </c>
      <c r="C73" s="1">
        <f>96.2-98.9</f>
        <v>-2.7000000000000028</v>
      </c>
      <c r="D73" s="1">
        <f>88.4-96.6</f>
        <v>-8.1999999999999886</v>
      </c>
      <c r="E73" s="1">
        <v>0</v>
      </c>
    </row>
    <row r="74" spans="1:5" x14ac:dyDescent="0.25">
      <c r="A74" s="1">
        <v>5</v>
      </c>
      <c r="B74" s="1">
        <f>0.659-0.524</f>
        <v>0.13500000000000001</v>
      </c>
      <c r="C74" s="1">
        <f>93.3-99.1</f>
        <v>-5.7999999999999972</v>
      </c>
      <c r="D74" s="1">
        <f>89.5-99.9</f>
        <v>-10.400000000000006</v>
      </c>
      <c r="E74" s="1">
        <v>2</v>
      </c>
    </row>
    <row r="75" spans="1:5" x14ac:dyDescent="0.25">
      <c r="A75" s="1">
        <v>7</v>
      </c>
      <c r="B75" s="1">
        <f>0.537-0.549</f>
        <v>-1.2000000000000011E-2</v>
      </c>
      <c r="C75" s="1">
        <f>93-101.3</f>
        <v>-8.2999999999999972</v>
      </c>
      <c r="D75" s="1">
        <f>92.2-100.4</f>
        <v>-8.2000000000000028</v>
      </c>
      <c r="E75" s="1">
        <v>1</v>
      </c>
    </row>
    <row r="76" spans="1:5" x14ac:dyDescent="0.25">
      <c r="A76" s="1">
        <v>4</v>
      </c>
      <c r="B76" s="1">
        <f>0.72-0.512</f>
        <v>0.20799999999999996</v>
      </c>
      <c r="C76" s="1">
        <f>101.5-91.4</f>
        <v>10.099999999999994</v>
      </c>
      <c r="D76" s="1">
        <f>95-92.9</f>
        <v>2.0999999999999943</v>
      </c>
      <c r="E76" s="1">
        <v>3</v>
      </c>
    </row>
    <row r="77" spans="1:5" x14ac:dyDescent="0.25">
      <c r="A77" s="1">
        <v>6</v>
      </c>
      <c r="B77" s="1">
        <f>0.549-0.573</f>
        <v>-2.399999999999991E-2</v>
      </c>
      <c r="C77" s="1">
        <f>100.5-94.5</f>
        <v>6</v>
      </c>
      <c r="D77" s="1">
        <f>100.8-93.4</f>
        <v>7.3999999999999915</v>
      </c>
      <c r="E77" s="1">
        <v>1</v>
      </c>
    </row>
    <row r="78" spans="1:5" x14ac:dyDescent="0.25">
      <c r="A78" s="1">
        <v>7</v>
      </c>
      <c r="B78" s="1">
        <f>0.707-0.622</f>
        <v>8.4999999999999964E-2</v>
      </c>
      <c r="C78" s="1">
        <f>102.5-95.1</f>
        <v>7.4000000000000057</v>
      </c>
      <c r="D78" s="1">
        <f>96.8-91</f>
        <v>5.7999999999999972</v>
      </c>
      <c r="E78" s="1">
        <v>0</v>
      </c>
    </row>
    <row r="79" spans="1:5" x14ac:dyDescent="0.25">
      <c r="A79" s="1">
        <v>4</v>
      </c>
      <c r="B79" s="1">
        <f>0.756-0.549</f>
        <v>0.20699999999999996</v>
      </c>
      <c r="C79" s="1">
        <f>110.4-93.4</f>
        <v>17</v>
      </c>
      <c r="D79" s="1">
        <f>103.3-91.1</f>
        <v>12.200000000000003</v>
      </c>
      <c r="E79" s="1">
        <v>0</v>
      </c>
    </row>
    <row r="80" spans="1:5" x14ac:dyDescent="0.25">
      <c r="A80" s="1">
        <v>5</v>
      </c>
      <c r="B80" s="1">
        <f>0.72-0.598</f>
        <v>0.122</v>
      </c>
      <c r="C80" s="1">
        <f>96.2-99.5</f>
        <v>-3.2999999999999972</v>
      </c>
      <c r="D80" s="1">
        <f>88.4-97.5</f>
        <v>-9.0999999999999943</v>
      </c>
      <c r="E80" s="1">
        <v>0</v>
      </c>
    </row>
    <row r="81" spans="1:5" x14ac:dyDescent="0.25">
      <c r="A81" s="1">
        <v>5</v>
      </c>
      <c r="B81" s="1">
        <f>0.634-0.61</f>
        <v>2.4000000000000021E-2</v>
      </c>
      <c r="C81" s="1">
        <f>98.9-103.7</f>
        <v>-4.7999999999999972</v>
      </c>
      <c r="D81" s="1">
        <f>96.6-101.6</f>
        <v>-5</v>
      </c>
      <c r="E81" s="1">
        <v>2</v>
      </c>
    </row>
    <row r="82" spans="1:5" x14ac:dyDescent="0.25">
      <c r="A82" s="1">
        <v>6</v>
      </c>
      <c r="B82" s="1">
        <f>0.634-0.732</f>
        <v>-9.7999999999999976E-2</v>
      </c>
      <c r="C82" s="1">
        <f>99.9-99.1</f>
        <v>0.80000000000001137</v>
      </c>
      <c r="D82" s="1">
        <f>96-93.1</f>
        <v>2.9000000000000057</v>
      </c>
      <c r="E82" s="1">
        <v>-2</v>
      </c>
    </row>
    <row r="83" spans="1:5" x14ac:dyDescent="0.25">
      <c r="A83" s="1">
        <v>6</v>
      </c>
      <c r="B83" s="1">
        <f>0.634-0.78</f>
        <v>-0.14600000000000002</v>
      </c>
      <c r="C83" s="1">
        <f>99.9-96.8</f>
        <v>3.1000000000000085</v>
      </c>
      <c r="D83" s="1">
        <f>96-90.2</f>
        <v>5.7999999999999972</v>
      </c>
      <c r="E83" s="1">
        <v>-2</v>
      </c>
    </row>
    <row r="84" spans="1:5" x14ac:dyDescent="0.25">
      <c r="A84" s="1">
        <v>6</v>
      </c>
      <c r="B84" s="1">
        <f>0.732-0.659</f>
        <v>7.2999999999999954E-2</v>
      </c>
      <c r="C84" s="1">
        <f>99.1-108.4</f>
        <v>-9.3000000000000114</v>
      </c>
      <c r="D84" s="1">
        <f>93.1-102.8</f>
        <v>-9.7000000000000028</v>
      </c>
      <c r="E84" s="1">
        <v>0</v>
      </c>
    </row>
    <row r="85" spans="1:5" x14ac:dyDescent="0.25">
      <c r="A85" s="1">
        <v>7</v>
      </c>
      <c r="B85" s="1">
        <f>0.78-0.61</f>
        <v>0.17000000000000004</v>
      </c>
      <c r="C85" s="1">
        <f>96.8-97.6</f>
        <v>-0.79999999999999716</v>
      </c>
      <c r="D85" s="1">
        <f>90.2-95.4</f>
        <v>-5.2000000000000028</v>
      </c>
      <c r="E85" s="1">
        <v>2</v>
      </c>
    </row>
    <row r="86" spans="1:5" x14ac:dyDescent="0.25">
      <c r="A86" s="1">
        <v>5</v>
      </c>
      <c r="B86" s="1">
        <f>0.634-0.598</f>
        <v>3.6000000000000032E-2</v>
      </c>
      <c r="C86" s="1">
        <f>99.9-93.8</f>
        <v>6.1000000000000085</v>
      </c>
      <c r="D86" s="1">
        <f>96-92.4</f>
        <v>3.5999999999999943</v>
      </c>
      <c r="E86" s="1">
        <v>-2</v>
      </c>
    </row>
    <row r="87" spans="1:5" x14ac:dyDescent="0.25">
      <c r="A87" s="1">
        <v>7</v>
      </c>
      <c r="B87" s="1">
        <f>0.732-0.768</f>
        <v>-3.6000000000000032E-2</v>
      </c>
      <c r="C87" s="1">
        <f>99.1-95.6</f>
        <v>3.5</v>
      </c>
      <c r="D87" s="1">
        <f>93.1-88.8</f>
        <v>4.2999999999999972</v>
      </c>
      <c r="E87" s="1">
        <v>0</v>
      </c>
    </row>
    <row r="88" spans="1:5" x14ac:dyDescent="0.25">
      <c r="A88" s="1">
        <v>7</v>
      </c>
      <c r="B88" s="1">
        <f>0.659-0.573</f>
        <v>8.6000000000000076E-2</v>
      </c>
      <c r="C88" s="1">
        <f>108.4-97.2</f>
        <v>11.200000000000003</v>
      </c>
      <c r="D88" s="1">
        <f>102.8-95.6</f>
        <v>7.2000000000000028</v>
      </c>
      <c r="E88" s="1">
        <v>0</v>
      </c>
    </row>
    <row r="89" spans="1:5" x14ac:dyDescent="0.25">
      <c r="A89" s="1">
        <v>6</v>
      </c>
      <c r="B89" s="1">
        <f>0.61-0.512</f>
        <v>9.7999999999999976E-2</v>
      </c>
      <c r="C89" s="1">
        <f>97.6-101.7</f>
        <v>-4.1000000000000085</v>
      </c>
      <c r="D89" s="1">
        <f>95.4-99.8</f>
        <v>-4.3999999999999915</v>
      </c>
      <c r="E89" s="1">
        <v>-2</v>
      </c>
    </row>
    <row r="90" spans="1:5" x14ac:dyDescent="0.25">
      <c r="A90" s="1">
        <v>5</v>
      </c>
      <c r="B90" s="1">
        <f>0.78-0.488</f>
        <v>0.29200000000000004</v>
      </c>
      <c r="C90" s="1">
        <f>96.8-97.8</f>
        <v>-1</v>
      </c>
      <c r="D90" s="1">
        <f>90.2-98.8</f>
        <v>-8.5999999999999943</v>
      </c>
      <c r="E90" s="1">
        <v>2</v>
      </c>
    </row>
    <row r="91" spans="1:5" x14ac:dyDescent="0.25">
      <c r="A91" s="1">
        <v>6</v>
      </c>
      <c r="B91" s="1">
        <f>0.634-0.5</f>
        <v>0.13400000000000001</v>
      </c>
      <c r="C91" s="1">
        <f>99.9-97.8</f>
        <v>2.1000000000000085</v>
      </c>
      <c r="D91" s="1">
        <f>96-97.2</f>
        <v>-1.2000000000000028</v>
      </c>
      <c r="E91" s="1">
        <v>1</v>
      </c>
    </row>
    <row r="92" spans="1:5" x14ac:dyDescent="0.25">
      <c r="A92" s="1">
        <v>6</v>
      </c>
      <c r="B92" s="1">
        <f>0.598-0.5</f>
        <v>9.7999999999999976E-2</v>
      </c>
      <c r="C92" s="1">
        <f>93.8-93.9</f>
        <v>-0.10000000000000853</v>
      </c>
      <c r="D92" s="1">
        <f>92.4-92</f>
        <v>0.40000000000000568</v>
      </c>
      <c r="E92" s="1">
        <v>-1</v>
      </c>
    </row>
    <row r="93" spans="1:5" x14ac:dyDescent="0.25">
      <c r="A93" s="1">
        <v>4</v>
      </c>
      <c r="B93" s="1">
        <f>0.732-0.598</f>
        <v>0.13400000000000001</v>
      </c>
      <c r="C93" s="1">
        <f>99.1-92.2</f>
        <v>6.8999999999999915</v>
      </c>
      <c r="D93" s="1">
        <f>93.1-88.5</f>
        <v>4.5999999999999943</v>
      </c>
      <c r="E93" s="1">
        <v>2</v>
      </c>
    </row>
    <row r="94" spans="1:5" x14ac:dyDescent="0.25">
      <c r="A94" s="1">
        <v>5</v>
      </c>
      <c r="B94" s="1">
        <f>0.573-0.537</f>
        <v>3.5999999999999921E-2</v>
      </c>
      <c r="C94" s="1">
        <f>97.2-100.3</f>
        <v>-3.0999999999999943</v>
      </c>
      <c r="D94" s="1">
        <f>95.6-100.1</f>
        <v>-4.5</v>
      </c>
      <c r="E94" s="1">
        <v>2</v>
      </c>
    </row>
    <row r="95" spans="1:5" x14ac:dyDescent="0.25">
      <c r="A95" s="1">
        <v>7</v>
      </c>
      <c r="B95" s="1">
        <f>0.659-0.549</f>
        <v>0.10999999999999999</v>
      </c>
      <c r="C95" s="1">
        <f>108.4-99.4</f>
        <v>9</v>
      </c>
      <c r="D95" s="1">
        <f>102.8-96.9</f>
        <v>5.8999999999999915</v>
      </c>
      <c r="E95" s="1">
        <v>2</v>
      </c>
    </row>
    <row r="96" spans="1:5" x14ac:dyDescent="0.25">
      <c r="A96" s="1">
        <v>6</v>
      </c>
      <c r="B96" s="1">
        <f>0.768-0.537</f>
        <v>0.23099999999999998</v>
      </c>
      <c r="C96" s="1">
        <f>95.6-98.9</f>
        <v>-3.3000000000000114</v>
      </c>
      <c r="D96" s="1">
        <f>88.8-97.3</f>
        <v>-8.5</v>
      </c>
      <c r="E96" s="1">
        <v>1</v>
      </c>
    </row>
    <row r="97" spans="1:5" x14ac:dyDescent="0.25">
      <c r="A97" s="1">
        <v>4</v>
      </c>
      <c r="B97" s="1">
        <f>0.707-0.61</f>
        <v>9.6999999999999975E-2</v>
      </c>
      <c r="C97" s="1">
        <f>98.5-96.8</f>
        <v>1.7000000000000028</v>
      </c>
      <c r="D97" s="1">
        <f>90.1-92.9</f>
        <v>-2.8000000000000114</v>
      </c>
      <c r="E97" s="1">
        <v>-2</v>
      </c>
    </row>
    <row r="98" spans="1:5" x14ac:dyDescent="0.25">
      <c r="A98" s="1">
        <v>6</v>
      </c>
      <c r="B98" s="1">
        <f>0.61-0.646</f>
        <v>-3.6000000000000032E-2</v>
      </c>
      <c r="C98" s="1">
        <f>96.8-96</f>
        <v>0.79999999999999716</v>
      </c>
      <c r="D98" s="1">
        <f>92.9-91.8</f>
        <v>1.1000000000000085</v>
      </c>
      <c r="E98" s="1">
        <v>-2</v>
      </c>
    </row>
    <row r="99" spans="1:5" x14ac:dyDescent="0.25">
      <c r="A99" s="1">
        <v>5</v>
      </c>
      <c r="B99" s="1">
        <f>0.707-0.622</f>
        <v>8.4999999999999964E-2</v>
      </c>
      <c r="C99" s="1">
        <f>98.5-101.5</f>
        <v>-3</v>
      </c>
      <c r="D99" s="1">
        <f>90.1-98.6</f>
        <v>-8.5</v>
      </c>
      <c r="E99" s="1">
        <v>0</v>
      </c>
    </row>
    <row r="100" spans="1:5" x14ac:dyDescent="0.25">
      <c r="A100" s="1">
        <v>6</v>
      </c>
      <c r="B100" s="1">
        <f>0.61-0.5</f>
        <v>0.10999999999999999</v>
      </c>
      <c r="C100" s="1">
        <f>96.8-97.6</f>
        <v>-0.79999999999999716</v>
      </c>
      <c r="D100" s="1">
        <f>92.9-98.3</f>
        <v>-5.3999999999999915</v>
      </c>
      <c r="E100" s="1">
        <v>1</v>
      </c>
    </row>
    <row r="101" spans="1:5" x14ac:dyDescent="0.25">
      <c r="A101" s="1">
        <v>6</v>
      </c>
      <c r="B101" s="1">
        <f>0.646-0.598</f>
        <v>4.8000000000000043E-2</v>
      </c>
      <c r="C101" s="1">
        <f>96-98.8</f>
        <v>-2.7999999999999972</v>
      </c>
      <c r="D101" s="1">
        <f>91.8-93.8</f>
        <v>-2</v>
      </c>
      <c r="E101" s="1">
        <v>-2</v>
      </c>
    </row>
    <row r="102" spans="1:5" x14ac:dyDescent="0.25">
      <c r="A102" s="1">
        <v>6</v>
      </c>
      <c r="B102" s="1">
        <f>0.707-0.744</f>
        <v>-3.7000000000000033E-2</v>
      </c>
      <c r="C102" s="1">
        <f>98.5-110.2</f>
        <v>-11.700000000000003</v>
      </c>
      <c r="D102" s="1">
        <f>90.1-102.9</f>
        <v>-12.800000000000011</v>
      </c>
      <c r="E102" s="1">
        <v>1</v>
      </c>
    </row>
    <row r="103" spans="1:5" x14ac:dyDescent="0.25">
      <c r="A103" s="1">
        <v>5</v>
      </c>
      <c r="B103" s="1">
        <f>0.622-0.512</f>
        <v>0.10999999999999999</v>
      </c>
      <c r="C103" s="1">
        <f>101.5-106.5</f>
        <v>-5</v>
      </c>
      <c r="D103" s="1">
        <f>98.6-106.9</f>
        <v>-8.3000000000000114</v>
      </c>
      <c r="E103" s="1">
        <v>0</v>
      </c>
    </row>
    <row r="104" spans="1:5" x14ac:dyDescent="0.25">
      <c r="A104" s="1">
        <v>4</v>
      </c>
      <c r="B104" s="1">
        <f>0.598-0.537</f>
        <v>6.0999999999999943E-2</v>
      </c>
      <c r="C104" s="1">
        <f>98.8-94.6</f>
        <v>4.2000000000000028</v>
      </c>
      <c r="D104" s="1">
        <f>93.8-95.5</f>
        <v>-1.7000000000000028</v>
      </c>
      <c r="E104" s="1">
        <v>2</v>
      </c>
    </row>
    <row r="105" spans="1:5" x14ac:dyDescent="0.25">
      <c r="A105" s="1">
        <v>4</v>
      </c>
      <c r="B105" s="1">
        <f>0.61-0.5</f>
        <v>0.10999999999999999</v>
      </c>
      <c r="C105" s="1">
        <f>96.8-104.3</f>
        <v>-7.5</v>
      </c>
      <c r="D105" s="1">
        <f>92.9-104.9</f>
        <v>-12</v>
      </c>
      <c r="E105" s="1">
        <v>1</v>
      </c>
    </row>
    <row r="106" spans="1:5" x14ac:dyDescent="0.25">
      <c r="A106" s="1">
        <v>4</v>
      </c>
      <c r="B106" s="1">
        <f>0.646-0.488</f>
        <v>0.15800000000000003</v>
      </c>
      <c r="C106" s="1">
        <f>96-94.8</f>
        <v>1.2000000000000028</v>
      </c>
      <c r="D106" s="1">
        <f>91.8-94</f>
        <v>-2.2000000000000028</v>
      </c>
      <c r="E106" s="1">
        <v>4</v>
      </c>
    </row>
    <row r="107" spans="1:5" x14ac:dyDescent="0.25">
      <c r="A107" s="1">
        <v>6</v>
      </c>
      <c r="B107" s="1">
        <f>0.5-0.573</f>
        <v>-7.2999999999999954E-2</v>
      </c>
      <c r="C107" s="1">
        <f>97.6-99.5</f>
        <v>-1.9000000000000057</v>
      </c>
      <c r="D107" s="1">
        <f>98.3-98.5</f>
        <v>-0.20000000000000284</v>
      </c>
      <c r="E107" s="1">
        <v>0</v>
      </c>
    </row>
    <row r="108" spans="1:5" x14ac:dyDescent="0.25">
      <c r="A108" s="1">
        <v>6</v>
      </c>
      <c r="B108" s="1">
        <f>0.512-0.817</f>
        <v>-0.30499999999999994</v>
      </c>
      <c r="C108" s="1">
        <f>106.5-100</f>
        <v>6.5</v>
      </c>
      <c r="D108" s="1">
        <f>106.9-92.8</f>
        <v>14.100000000000009</v>
      </c>
      <c r="E108" s="1">
        <v>3</v>
      </c>
    </row>
    <row r="109" spans="1:5" x14ac:dyDescent="0.25">
      <c r="A109" s="1">
        <v>5</v>
      </c>
      <c r="B109" s="1">
        <f>0.744-0.512</f>
        <v>0.23199999999999998</v>
      </c>
      <c r="C109" s="1">
        <f>110.2-103.3</f>
        <v>6.9000000000000057</v>
      </c>
      <c r="D109" s="1">
        <f>102.9-103.4</f>
        <v>-0.5</v>
      </c>
      <c r="E109" s="1">
        <v>2</v>
      </c>
    </row>
    <row r="110" spans="1:5" x14ac:dyDescent="0.25">
      <c r="A110" s="1">
        <v>5</v>
      </c>
      <c r="B110" s="1">
        <f>0.707-0.549</f>
        <v>0.15799999999999992</v>
      </c>
      <c r="C110" s="1">
        <f>98.5-105.4</f>
        <v>-6.9000000000000057</v>
      </c>
      <c r="D110" s="1">
        <f>90.1-103.7</f>
        <v>-13.600000000000009</v>
      </c>
      <c r="E110" s="1">
        <v>1</v>
      </c>
    </row>
    <row r="111" spans="1:5" x14ac:dyDescent="0.25">
      <c r="A111" s="1">
        <v>7</v>
      </c>
      <c r="B111" s="1">
        <f>0.622-0.634</f>
        <v>-1.2000000000000011E-2</v>
      </c>
      <c r="C111" s="1">
        <f>101.5-97</f>
        <v>4.5</v>
      </c>
      <c r="D111" s="1">
        <f>98.6-92.1</f>
        <v>6.5</v>
      </c>
      <c r="E111" s="1">
        <v>2</v>
      </c>
    </row>
    <row r="112" spans="1:5" x14ac:dyDescent="0.25">
      <c r="A112" s="1">
        <v>6</v>
      </c>
      <c r="B112" s="1">
        <f>0.805-0.695</f>
        <v>0.1100000000000001</v>
      </c>
      <c r="C112" s="1">
        <f>100.5-108.6</f>
        <v>-8.0999999999999943</v>
      </c>
      <c r="D112" s="1">
        <f>90.3-101.3</f>
        <v>-11</v>
      </c>
      <c r="E112" s="1">
        <v>2</v>
      </c>
    </row>
    <row r="113" spans="1:5" x14ac:dyDescent="0.25">
      <c r="A113" s="1">
        <v>6</v>
      </c>
      <c r="B113" s="1">
        <f>0.805-0.72</f>
        <v>8.5000000000000075E-2</v>
      </c>
      <c r="C113" s="1">
        <f>100.5-97.5</f>
        <v>3</v>
      </c>
      <c r="D113" s="1">
        <f>90.3-90.1</f>
        <v>0.20000000000000284</v>
      </c>
      <c r="E113" s="1">
        <v>1</v>
      </c>
    </row>
    <row r="114" spans="1:5" x14ac:dyDescent="0.25">
      <c r="A114" s="1">
        <v>5</v>
      </c>
      <c r="B114" s="1">
        <f>0.695-0.683</f>
        <v>1.19999999999999E-2</v>
      </c>
      <c r="C114" s="1">
        <f>108.6-95.4</f>
        <v>13.199999999999989</v>
      </c>
      <c r="D114" s="1">
        <f>101.3-90.6</f>
        <v>10.700000000000003</v>
      </c>
      <c r="E114" s="1">
        <v>0</v>
      </c>
    </row>
    <row r="115" spans="1:5" x14ac:dyDescent="0.25">
      <c r="A115" s="1">
        <v>7</v>
      </c>
      <c r="B115" s="1">
        <f>0.805-0.549</f>
        <v>0.25600000000000001</v>
      </c>
      <c r="C115" s="1">
        <f>100.5-96.4</f>
        <v>4.0999999999999943</v>
      </c>
      <c r="D115" s="1">
        <f>90.3-96.7</f>
        <v>-6.4000000000000057</v>
      </c>
      <c r="E115" s="1">
        <v>0</v>
      </c>
    </row>
    <row r="116" spans="1:5" x14ac:dyDescent="0.25">
      <c r="A116" s="1">
        <v>5</v>
      </c>
      <c r="B116" s="1">
        <f>0.72-0.634</f>
        <v>8.5999999999999965E-2</v>
      </c>
      <c r="C116" s="1">
        <f>97.5-104.5</f>
        <v>-7</v>
      </c>
      <c r="D116" s="1">
        <f>90.1-99</f>
        <v>-8.9000000000000057</v>
      </c>
      <c r="E116" s="1">
        <v>0</v>
      </c>
    </row>
    <row r="117" spans="1:5" x14ac:dyDescent="0.25">
      <c r="A117" s="1">
        <v>6</v>
      </c>
      <c r="B117" s="1">
        <f>0.695-0.659</f>
        <v>3.5999999999999921E-2</v>
      </c>
      <c r="C117" s="1">
        <f>108.6-106.2</f>
        <v>2.3999999999999915</v>
      </c>
      <c r="D117" s="1">
        <f>101.3-99.3</f>
        <v>2</v>
      </c>
      <c r="E117" s="1">
        <v>2</v>
      </c>
    </row>
    <row r="118" spans="1:5" x14ac:dyDescent="0.25">
      <c r="A118" s="1">
        <v>7</v>
      </c>
      <c r="B118" s="1">
        <f>0.683-0.683</f>
        <v>0</v>
      </c>
      <c r="C118" s="1">
        <f>95.4-100.9</f>
        <v>-5.5</v>
      </c>
      <c r="D118" s="1">
        <f>90.6-95.6</f>
        <v>-5</v>
      </c>
      <c r="E118" s="1">
        <v>0</v>
      </c>
    </row>
    <row r="119" spans="1:5" x14ac:dyDescent="0.25">
      <c r="A119" s="1">
        <v>7</v>
      </c>
      <c r="B119" s="1">
        <f>0.805-0.451</f>
        <v>0.35400000000000004</v>
      </c>
      <c r="C119" s="1">
        <f>100.5-98.2</f>
        <v>2.2999999999999972</v>
      </c>
      <c r="D119" s="1">
        <f>90.3-100</f>
        <v>-9.7000000000000028</v>
      </c>
      <c r="E119" s="1">
        <v>3</v>
      </c>
    </row>
    <row r="120" spans="1:5" x14ac:dyDescent="0.25">
      <c r="A120" s="1">
        <v>6</v>
      </c>
      <c r="B120" s="1">
        <f>0.549-0.524</f>
        <v>2.5000000000000022E-2</v>
      </c>
      <c r="C120" s="1">
        <f>96.4-98.8</f>
        <v>-2.3999999999999915</v>
      </c>
      <c r="D120" s="1">
        <f>96.7-99.2</f>
        <v>-2.5</v>
      </c>
      <c r="E120" s="1">
        <v>0</v>
      </c>
    </row>
    <row r="121" spans="1:5" x14ac:dyDescent="0.25">
      <c r="A121" s="1">
        <v>6</v>
      </c>
      <c r="B121" s="1">
        <f>0.72-0.488</f>
        <v>0.23199999999999998</v>
      </c>
      <c r="C121" s="1">
        <f>97.5-96.6</f>
        <v>0.90000000000000568</v>
      </c>
      <c r="D121" s="1">
        <f>90.1-96.2</f>
        <v>-6.1000000000000085</v>
      </c>
      <c r="E121" s="1">
        <v>0</v>
      </c>
    </row>
    <row r="122" spans="1:5" x14ac:dyDescent="0.25">
      <c r="A122" s="1">
        <v>5</v>
      </c>
      <c r="B122" s="1">
        <f>0.634-0.5</f>
        <v>0.13400000000000001</v>
      </c>
      <c r="C122" s="1">
        <f>104.5-100.2</f>
        <v>4.2999999999999972</v>
      </c>
      <c r="D122" s="1">
        <f>99-97.3</f>
        <v>1.7000000000000028</v>
      </c>
      <c r="E122" s="1">
        <v>1</v>
      </c>
    </row>
    <row r="123" spans="1:5" x14ac:dyDescent="0.25">
      <c r="A123" s="1">
        <v>4</v>
      </c>
      <c r="B123" s="1">
        <f>0.695-0.61</f>
        <v>8.4999999999999964E-2</v>
      </c>
      <c r="C123" s="1">
        <f>108.6-110.7</f>
        <v>-2.1000000000000085</v>
      </c>
      <c r="D123" s="1">
        <f>101.3-107</f>
        <v>-5.7000000000000028</v>
      </c>
      <c r="E123" s="1">
        <v>3</v>
      </c>
    </row>
    <row r="124" spans="1:5" x14ac:dyDescent="0.25">
      <c r="A124" s="1">
        <v>5</v>
      </c>
      <c r="B124" s="1">
        <f>0.683-0.622</f>
        <v>6.1000000000000054E-2</v>
      </c>
      <c r="C124" s="1">
        <f>100.9-100.4</f>
        <v>0.5</v>
      </c>
      <c r="D124" s="1">
        <f>95.6-95.9</f>
        <v>-0.30000000000001137</v>
      </c>
      <c r="E124" s="1">
        <v>0</v>
      </c>
    </row>
    <row r="125" spans="1:5" x14ac:dyDescent="0.25">
      <c r="A125" s="1">
        <v>5</v>
      </c>
      <c r="B125" s="1">
        <f>0.683-0.671</f>
        <v>1.2000000000000011E-2</v>
      </c>
      <c r="C125" s="1">
        <f>95.4-110.1</f>
        <v>-14.699999999999989</v>
      </c>
      <c r="D125" s="1">
        <f>90.6-105</f>
        <v>-14.400000000000006</v>
      </c>
      <c r="E125" s="1">
        <v>-2</v>
      </c>
    </row>
    <row r="126" spans="1:5" x14ac:dyDescent="0.25">
      <c r="A126" s="1">
        <v>6</v>
      </c>
      <c r="B126" s="1">
        <f>0.659-0.671</f>
        <v>-1.2000000000000011E-2</v>
      </c>
      <c r="C126" s="1">
        <f>106.2-96.7</f>
        <v>9.5</v>
      </c>
      <c r="D126" s="1">
        <f>99.3-92</f>
        <v>7.2999999999999972</v>
      </c>
      <c r="E126" s="1">
        <v>1</v>
      </c>
    </row>
    <row r="127" spans="1:5" x14ac:dyDescent="0.25">
      <c r="A127" s="1">
        <v>5</v>
      </c>
      <c r="B127" s="1">
        <f>0.793-0.72</f>
        <v>7.3000000000000065E-2</v>
      </c>
      <c r="C127" s="1">
        <f>106.9-101</f>
        <v>5.9000000000000057</v>
      </c>
      <c r="D127" s="1">
        <f>99.3-94.4</f>
        <v>4.8999999999999915</v>
      </c>
      <c r="E127" s="1">
        <v>-2</v>
      </c>
    </row>
    <row r="128" spans="1:5" x14ac:dyDescent="0.25">
      <c r="A128" s="1">
        <v>6</v>
      </c>
      <c r="B128" s="1">
        <f>0.72-0.805</f>
        <v>-8.5000000000000075E-2</v>
      </c>
      <c r="C128" s="1">
        <f>101-100.3</f>
        <v>0.70000000000000284</v>
      </c>
      <c r="D128" s="1">
        <f>94.4-91.4</f>
        <v>3</v>
      </c>
      <c r="E128" s="1">
        <v>1</v>
      </c>
    </row>
    <row r="129" spans="1:5" x14ac:dyDescent="0.25">
      <c r="A129" s="1">
        <v>6</v>
      </c>
      <c r="B129" s="1">
        <f>0.793-0.659</f>
        <v>0.13400000000000001</v>
      </c>
      <c r="C129" s="1">
        <f>106.9-104.3</f>
        <v>2.6000000000000085</v>
      </c>
      <c r="D129" s="1">
        <f>99.3-100.9</f>
        <v>-1.6000000000000085</v>
      </c>
      <c r="E129" s="1">
        <v>2</v>
      </c>
    </row>
    <row r="130" spans="1:5" x14ac:dyDescent="0.25">
      <c r="A130" s="1">
        <v>4</v>
      </c>
      <c r="B130" s="1">
        <f>0.805-0.573</f>
        <v>0.2320000000000001</v>
      </c>
      <c r="C130" s="1">
        <f>100.3-98.1</f>
        <v>2.2000000000000028</v>
      </c>
      <c r="D130" s="1">
        <f>91.4-96.5</f>
        <v>-5.0999999999999943</v>
      </c>
      <c r="E130" s="1">
        <v>2</v>
      </c>
    </row>
    <row r="131" spans="1:5" x14ac:dyDescent="0.25">
      <c r="A131" s="1">
        <v>7</v>
      </c>
      <c r="B131" s="1">
        <f>0.72-0.756</f>
        <v>-3.6000000000000032E-2</v>
      </c>
      <c r="C131" s="1">
        <f>101-100.9</f>
        <v>9.9999999999994316E-2</v>
      </c>
      <c r="D131" s="1">
        <f>94.4-93.4</f>
        <v>1</v>
      </c>
      <c r="E131" s="1">
        <v>0</v>
      </c>
    </row>
    <row r="132" spans="1:5" x14ac:dyDescent="0.25">
      <c r="A132" s="1">
        <v>5</v>
      </c>
      <c r="B132" s="1">
        <f>0.659-0.61</f>
        <v>4.9000000000000044E-2</v>
      </c>
      <c r="C132" s="1">
        <f>104.3-101.7</f>
        <v>2.5999999999999943</v>
      </c>
      <c r="D132" s="1">
        <f>100.9-99.8</f>
        <v>1.1000000000000085</v>
      </c>
      <c r="E132" s="1">
        <v>4</v>
      </c>
    </row>
    <row r="133" spans="1:5" x14ac:dyDescent="0.25">
      <c r="A133" s="1">
        <v>7</v>
      </c>
      <c r="B133" s="1">
        <f>0.793-0.646</f>
        <v>0.14700000000000002</v>
      </c>
      <c r="C133" s="1">
        <f>106.9-98.4</f>
        <v>8.5</v>
      </c>
      <c r="D133" s="1">
        <f>99.3-94.4</f>
        <v>4.8999999999999915</v>
      </c>
      <c r="E133" s="1">
        <v>4</v>
      </c>
    </row>
    <row r="134" spans="1:5" x14ac:dyDescent="0.25">
      <c r="A134" s="1">
        <v>7</v>
      </c>
      <c r="B134" s="1">
        <f>0.573-0.524</f>
        <v>4.8999999999999932E-2</v>
      </c>
      <c r="C134" s="1">
        <f>98.1-98.3</f>
        <v>-0.20000000000000284</v>
      </c>
      <c r="D134" s="1">
        <f>96.5-98</f>
        <v>-1.5</v>
      </c>
      <c r="E134" s="1">
        <v>2</v>
      </c>
    </row>
    <row r="135" spans="1:5" x14ac:dyDescent="0.25">
      <c r="A135" s="1">
        <v>7</v>
      </c>
      <c r="B135" s="1">
        <f>0.756-0.5</f>
        <v>0.25600000000000001</v>
      </c>
      <c r="C135" s="1">
        <f>100.9-102.2</f>
        <v>-1.2999999999999972</v>
      </c>
      <c r="D135" s="1">
        <f>93.4-102.5</f>
        <v>-9.0999999999999943</v>
      </c>
      <c r="E135" s="1">
        <v>1</v>
      </c>
    </row>
    <row r="136" spans="1:5" x14ac:dyDescent="0.25">
      <c r="A136" s="1">
        <v>4</v>
      </c>
      <c r="B136" s="1">
        <f>0.805-0.476</f>
        <v>0.32900000000000007</v>
      </c>
      <c r="C136" s="1">
        <f>100.3-94.2</f>
        <v>6.0999999999999943</v>
      </c>
      <c r="D136" s="1">
        <f>91.4-94.7</f>
        <v>-3.2999999999999972</v>
      </c>
      <c r="E136" s="1">
        <v>2</v>
      </c>
    </row>
    <row r="137" spans="1:5" x14ac:dyDescent="0.25">
      <c r="A137" s="1">
        <v>6</v>
      </c>
      <c r="B137" s="1">
        <f>0.72-0.5</f>
        <v>0.21999999999999997</v>
      </c>
      <c r="C137" s="1">
        <f>101-97.4</f>
        <v>3.5999999999999943</v>
      </c>
      <c r="D137" s="1">
        <f>94.4-97.3</f>
        <v>-2.8999999999999915</v>
      </c>
      <c r="E137" s="1">
        <v>3</v>
      </c>
    </row>
    <row r="138" spans="1:5" x14ac:dyDescent="0.25">
      <c r="A138" s="1">
        <v>5</v>
      </c>
      <c r="B138" s="1">
        <f>0.61-0.659</f>
        <v>-4.9000000000000044E-2</v>
      </c>
      <c r="C138" s="1">
        <f>101.7-97</f>
        <v>4.7000000000000028</v>
      </c>
      <c r="D138" s="1">
        <f>99.8-93.3</f>
        <v>6.5</v>
      </c>
      <c r="E138" s="1">
        <v>0</v>
      </c>
    </row>
    <row r="139" spans="1:5" x14ac:dyDescent="0.25">
      <c r="A139" s="1">
        <v>5</v>
      </c>
      <c r="B139" s="1">
        <f>0.659-0.598</f>
        <v>6.1000000000000054E-2</v>
      </c>
      <c r="C139" s="1">
        <f>104.3-95.8</f>
        <v>8.5</v>
      </c>
      <c r="D139" s="1">
        <f>100.9-94.3</f>
        <v>6.6000000000000085</v>
      </c>
      <c r="E139" s="1">
        <v>0</v>
      </c>
    </row>
    <row r="140" spans="1:5" x14ac:dyDescent="0.25">
      <c r="A140" s="1">
        <v>6</v>
      </c>
      <c r="B140" s="1">
        <f>0.646-0.659</f>
        <v>-1.3000000000000012E-2</v>
      </c>
      <c r="C140" s="1">
        <f>98.4-99.4</f>
        <v>-1</v>
      </c>
      <c r="D140" s="1">
        <f>94.4-94.1</f>
        <v>0.30000000000001137</v>
      </c>
      <c r="E140" s="1">
        <v>1</v>
      </c>
    </row>
    <row r="141" spans="1:5" x14ac:dyDescent="0.25">
      <c r="A141" s="1">
        <v>5</v>
      </c>
      <c r="B141" s="1">
        <f>0.793-0.585</f>
        <v>0.20800000000000007</v>
      </c>
      <c r="C141" s="1">
        <f>106.9-103.6</f>
        <v>3.3000000000000114</v>
      </c>
      <c r="D141" s="1">
        <f>99.3-100.9</f>
        <v>-1.6000000000000085</v>
      </c>
      <c r="E141" s="1">
        <v>1</v>
      </c>
    </row>
    <row r="142" spans="1:5" x14ac:dyDescent="0.25">
      <c r="A142" s="1">
        <v>7</v>
      </c>
      <c r="B142" s="1">
        <f>0.695-0.61</f>
        <v>8.4999999999999964E-2</v>
      </c>
      <c r="C142" s="1">
        <f>101.7-99.2</f>
        <v>2.5</v>
      </c>
      <c r="D142" s="1">
        <f>97-95.6</f>
        <v>1.4000000000000057</v>
      </c>
      <c r="E142" s="1">
        <v>0</v>
      </c>
    </row>
    <row r="143" spans="1:5" x14ac:dyDescent="0.25">
      <c r="A143" s="1">
        <v>6</v>
      </c>
      <c r="B143" s="1">
        <f>0.61-0.72</f>
        <v>-0.10999999999999999</v>
      </c>
      <c r="C143" s="1">
        <f>99.2-102.8</f>
        <v>-3.5999999999999943</v>
      </c>
      <c r="D143" s="1">
        <f>95.6-95.3</f>
        <v>0.29999999999999716</v>
      </c>
      <c r="E143" s="1">
        <v>-2</v>
      </c>
    </row>
    <row r="144" spans="1:5" x14ac:dyDescent="0.25">
      <c r="A144" s="1">
        <v>6</v>
      </c>
      <c r="B144" s="1">
        <f>0.695-0.659</f>
        <v>3.5999999999999921E-2</v>
      </c>
      <c r="C144" s="1">
        <f>101.7-110.2</f>
        <v>-8.5</v>
      </c>
      <c r="D144" s="1">
        <f>97-105.3</f>
        <v>-8.2999999999999972</v>
      </c>
      <c r="E144" s="1">
        <v>2</v>
      </c>
    </row>
    <row r="145" spans="1:5" x14ac:dyDescent="0.25">
      <c r="A145" s="1">
        <v>6</v>
      </c>
      <c r="B145" s="1">
        <f>0.61-0.744</f>
        <v>-0.13400000000000001</v>
      </c>
      <c r="C145" s="1">
        <f>99.2-102.1</f>
        <v>-2.8999999999999915</v>
      </c>
      <c r="D145" s="1">
        <f>95.6-95.6</f>
        <v>0</v>
      </c>
      <c r="E145" s="1">
        <v>0</v>
      </c>
    </row>
    <row r="146" spans="1:5" x14ac:dyDescent="0.25">
      <c r="A146" s="1">
        <v>4</v>
      </c>
      <c r="B146" s="1">
        <f>0.72-0.646</f>
        <v>7.3999999999999955E-2</v>
      </c>
      <c r="C146" s="1">
        <f>102.8-101.7</f>
        <v>1.0999999999999943</v>
      </c>
      <c r="D146" s="1">
        <f>95.3-97</f>
        <v>-1.7000000000000028</v>
      </c>
      <c r="E146" s="1">
        <v>2</v>
      </c>
    </row>
    <row r="147" spans="1:5" x14ac:dyDescent="0.25">
      <c r="A147" s="1">
        <v>4</v>
      </c>
      <c r="B147" s="1">
        <f>0.695-0.646</f>
        <v>4.8999999999999932E-2</v>
      </c>
      <c r="C147" s="1">
        <f>101.7-104.2</f>
        <v>-2.5</v>
      </c>
      <c r="D147" s="1">
        <f>97-98.9</f>
        <v>-1.9000000000000057</v>
      </c>
      <c r="E147" s="1">
        <v>2</v>
      </c>
    </row>
    <row r="148" spans="1:5" x14ac:dyDescent="0.25">
      <c r="A148" s="1">
        <v>4</v>
      </c>
      <c r="B148" s="1">
        <f>0.659-0.61</f>
        <v>4.9000000000000044E-2</v>
      </c>
      <c r="C148" s="1">
        <f>110.2-101.4</f>
        <v>8.7999999999999972</v>
      </c>
      <c r="D148" s="1">
        <f>105.3-96.3</f>
        <v>9</v>
      </c>
      <c r="E148" s="1">
        <v>1</v>
      </c>
    </row>
    <row r="149" spans="1:5" x14ac:dyDescent="0.25">
      <c r="A149" s="1">
        <v>7</v>
      </c>
      <c r="B149" s="1">
        <f>0.646-0.561</f>
        <v>8.4999999999999964E-2</v>
      </c>
      <c r="C149" s="1">
        <f>101.7-97.7</f>
        <v>4</v>
      </c>
      <c r="D149" s="1">
        <f>97-96</f>
        <v>1</v>
      </c>
      <c r="E149" s="1">
        <v>1</v>
      </c>
    </row>
    <row r="150" spans="1:5" x14ac:dyDescent="0.25">
      <c r="A150" s="1">
        <v>5</v>
      </c>
      <c r="B150" s="1">
        <f>0.61-0.573</f>
        <v>3.7000000000000033E-2</v>
      </c>
      <c r="C150" s="1">
        <f>99.2-96.5</f>
        <v>2.7000000000000028</v>
      </c>
      <c r="D150" s="1">
        <f>95.6-94.2</f>
        <v>1.3999999999999915</v>
      </c>
      <c r="E150" s="1">
        <v>3</v>
      </c>
    </row>
    <row r="151" spans="1:5" x14ac:dyDescent="0.25">
      <c r="A151" s="1">
        <v>5</v>
      </c>
      <c r="B151" s="1">
        <f>0.744-0.5</f>
        <v>0.24399999999999999</v>
      </c>
      <c r="C151" s="1">
        <f>102.1-97.5</f>
        <v>4.5999999999999943</v>
      </c>
      <c r="D151" s="1">
        <f>95.6-99.1</f>
        <v>-3.5</v>
      </c>
      <c r="E151" s="1">
        <v>0</v>
      </c>
    </row>
    <row r="152" spans="1:5" x14ac:dyDescent="0.25">
      <c r="A152" s="1">
        <v>4</v>
      </c>
      <c r="B152" s="1">
        <f>0.72-0.537</f>
        <v>0.18299999999999994</v>
      </c>
      <c r="C152" s="1">
        <f>102.8-95.3</f>
        <v>7.5</v>
      </c>
      <c r="D152" s="1">
        <f>95.3-93.8</f>
        <v>1.5</v>
      </c>
      <c r="E152" s="1">
        <v>2</v>
      </c>
    </row>
    <row r="153" spans="1:5" x14ac:dyDescent="0.25">
      <c r="A153" s="1">
        <v>6</v>
      </c>
      <c r="B153" s="1">
        <f>0.695-0.61</f>
        <v>8.4999999999999964E-2</v>
      </c>
      <c r="C153" s="1">
        <f>101.7-101.5</f>
        <v>0.20000000000000284</v>
      </c>
      <c r="D153" s="1">
        <f>97-98</f>
        <v>-1</v>
      </c>
      <c r="E153" s="1">
        <v>2</v>
      </c>
    </row>
    <row r="154" spans="1:5" x14ac:dyDescent="0.25">
      <c r="A154" s="1">
        <v>6</v>
      </c>
      <c r="B154" s="1">
        <f>0.659-0.61</f>
        <v>4.9000000000000044E-2</v>
      </c>
      <c r="C154" s="1">
        <f>110.2-98.1</f>
        <v>12.100000000000009</v>
      </c>
      <c r="D154" s="1">
        <f>105.3-94.8</f>
        <v>10.5</v>
      </c>
      <c r="E154" s="1">
        <v>-1</v>
      </c>
    </row>
    <row r="155" spans="1:5" x14ac:dyDescent="0.25">
      <c r="A155" s="1">
        <v>6</v>
      </c>
      <c r="B155" s="1">
        <f>0.61-0.671</f>
        <v>-6.1000000000000054E-2</v>
      </c>
      <c r="C155" s="1">
        <f>101.4-102</f>
        <v>-0.59999999999999432</v>
      </c>
      <c r="D155" s="1">
        <f>96.3-99.3</f>
        <v>-3</v>
      </c>
      <c r="E155" s="1">
        <v>-2</v>
      </c>
    </row>
    <row r="156" spans="1:5" x14ac:dyDescent="0.25">
      <c r="A156" s="1">
        <v>6</v>
      </c>
      <c r="B156" s="1">
        <f>0.646-0.646</f>
        <v>0</v>
      </c>
      <c r="C156" s="1">
        <f>104.2-106.5</f>
        <v>-2.2999999999999972</v>
      </c>
      <c r="D156" s="1">
        <f>98.9-102.4</f>
        <v>-3.5</v>
      </c>
      <c r="E156" s="1">
        <v>-2</v>
      </c>
    </row>
    <row r="157" spans="1:5" x14ac:dyDescent="0.25">
      <c r="A157" s="1">
        <v>6</v>
      </c>
      <c r="B157" s="1">
        <f>0.695-0.707</f>
        <v>-1.2000000000000011E-2</v>
      </c>
      <c r="C157" s="1">
        <f>100.2-102.1</f>
        <v>-1.8999999999999915</v>
      </c>
      <c r="D157" s="1">
        <f>96-94.6</f>
        <v>1.4000000000000057</v>
      </c>
      <c r="E157" s="1">
        <v>2</v>
      </c>
    </row>
    <row r="158" spans="1:5" x14ac:dyDescent="0.25">
      <c r="A158" s="1">
        <v>5</v>
      </c>
      <c r="B158" s="1">
        <f>0.707-0.756</f>
        <v>-4.9000000000000044E-2</v>
      </c>
      <c r="C158" s="1">
        <f>102.1-98.6</f>
        <v>3.5</v>
      </c>
      <c r="D158" s="1">
        <f>94.6-91.3</f>
        <v>3.2999999999999972</v>
      </c>
      <c r="E158" s="1">
        <v>-3</v>
      </c>
    </row>
    <row r="159" spans="1:5" x14ac:dyDescent="0.25">
      <c r="A159" s="1">
        <v>5</v>
      </c>
      <c r="B159" s="1">
        <f>0.695-0.671</f>
        <v>2.399999999999991E-2</v>
      </c>
      <c r="C159" s="1">
        <f>100.2-104.8</f>
        <v>-4.5999999999999943</v>
      </c>
      <c r="D159" s="1">
        <f>96-101</f>
        <v>-5</v>
      </c>
      <c r="E159" s="1">
        <v>1</v>
      </c>
    </row>
    <row r="160" spans="1:5" x14ac:dyDescent="0.25">
      <c r="A160" s="1">
        <v>6</v>
      </c>
      <c r="B160" s="1">
        <f>0.756-0.537</f>
        <v>0.21899999999999997</v>
      </c>
      <c r="C160" s="1">
        <f>98.6-95</f>
        <v>3.5999999999999943</v>
      </c>
      <c r="D160" s="1">
        <f>91.3-95.8</f>
        <v>-4.5</v>
      </c>
      <c r="E160" s="1">
        <v>1</v>
      </c>
    </row>
    <row r="161" spans="1:5" x14ac:dyDescent="0.25">
      <c r="A161" s="1">
        <v>5</v>
      </c>
      <c r="B161" s="1">
        <f>0.707-0.683</f>
        <v>2.399999999999991E-2</v>
      </c>
      <c r="C161" s="1">
        <f>102.1-96.5</f>
        <v>5.5999999999999943</v>
      </c>
      <c r="D161" s="1">
        <f>94.6-91.1</f>
        <v>3.5</v>
      </c>
      <c r="E161" s="1">
        <v>-2</v>
      </c>
    </row>
    <row r="162" spans="1:5" x14ac:dyDescent="0.25">
      <c r="A162" s="1">
        <v>4</v>
      </c>
      <c r="B162" s="1">
        <f>0.695-0.695</f>
        <v>0</v>
      </c>
      <c r="C162" s="1">
        <f>100.2-101.5</f>
        <v>-1.2999999999999972</v>
      </c>
      <c r="D162" s="1">
        <f>96-95.4</f>
        <v>0.59999999999999432</v>
      </c>
      <c r="E162" s="1">
        <v>-1</v>
      </c>
    </row>
    <row r="163" spans="1:5" x14ac:dyDescent="0.25">
      <c r="A163" s="1">
        <v>7</v>
      </c>
      <c r="B163" s="1">
        <f>0.671-0.561</f>
        <v>0.10999999999999999</v>
      </c>
      <c r="C163" s="1">
        <f>104.8-99.9</f>
        <v>4.8999999999999915</v>
      </c>
      <c r="D163" s="1">
        <f>101-97.6</f>
        <v>3.4000000000000057</v>
      </c>
      <c r="E163" s="1">
        <v>-2</v>
      </c>
    </row>
    <row r="164" spans="1:5" x14ac:dyDescent="0.25">
      <c r="A164" s="1">
        <v>6</v>
      </c>
      <c r="B164" s="1">
        <f>0.537-0.634</f>
        <v>-9.6999999999999975E-2</v>
      </c>
      <c r="C164" s="1">
        <f>95-99.2</f>
        <v>-4.2000000000000028</v>
      </c>
      <c r="D164" s="1">
        <f>95.8-93.7</f>
        <v>2.0999999999999943</v>
      </c>
      <c r="E164" s="1">
        <v>2</v>
      </c>
    </row>
    <row r="165" spans="1:5" x14ac:dyDescent="0.25">
      <c r="A165" s="1">
        <v>4</v>
      </c>
      <c r="B165" s="1">
        <f>0.683-0.512</f>
        <v>0.17100000000000004</v>
      </c>
      <c r="C165" s="1">
        <f>96.5-106.5</f>
        <v>-10</v>
      </c>
      <c r="D165" s="1">
        <f>91.1-105.7</f>
        <v>-14.600000000000009</v>
      </c>
      <c r="E165" s="1">
        <v>4</v>
      </c>
    </row>
    <row r="166" spans="1:5" x14ac:dyDescent="0.25">
      <c r="A166" s="1">
        <v>5</v>
      </c>
      <c r="B166" s="1">
        <f>0.756-0.451</f>
        <v>0.30499999999999999</v>
      </c>
      <c r="C166" s="1">
        <f>98.6-99.8</f>
        <v>-1.2000000000000028</v>
      </c>
      <c r="D166" s="1">
        <f>91.3-100.9</f>
        <v>-9.6000000000000085</v>
      </c>
      <c r="E166" s="1">
        <v>2</v>
      </c>
    </row>
    <row r="167" spans="1:5" x14ac:dyDescent="0.25">
      <c r="A167" s="1">
        <v>5</v>
      </c>
      <c r="B167" s="1">
        <f>0.707-0.5</f>
        <v>0.20699999999999996</v>
      </c>
      <c r="C167" s="1">
        <f>102.1-99</f>
        <v>3.0999999999999943</v>
      </c>
      <c r="D167" s="1">
        <f>94.6-97.5</f>
        <v>-2.9000000000000057</v>
      </c>
      <c r="E167" s="1">
        <v>3</v>
      </c>
    </row>
    <row r="168" spans="1:5" x14ac:dyDescent="0.25">
      <c r="A168" s="1">
        <v>6</v>
      </c>
      <c r="B168" s="1">
        <f>0.695-0.585</f>
        <v>0.10999999999999999</v>
      </c>
      <c r="C168" s="1">
        <f>100.2-96.3</f>
        <v>3.9000000000000057</v>
      </c>
      <c r="D168" s="1">
        <f>96-94.8</f>
        <v>1.2000000000000028</v>
      </c>
      <c r="E168" s="1">
        <v>0</v>
      </c>
    </row>
    <row r="169" spans="1:5" x14ac:dyDescent="0.25">
      <c r="A169" s="1">
        <v>6</v>
      </c>
      <c r="B169" s="1">
        <f>0.695-0.561</f>
        <v>0.1339999999999999</v>
      </c>
      <c r="C169" s="1">
        <f>101.5-94.9</f>
        <v>6.5999999999999943</v>
      </c>
      <c r="D169" s="1">
        <f>95.4-94</f>
        <v>1.4000000000000057</v>
      </c>
      <c r="E169" s="1">
        <v>4</v>
      </c>
    </row>
    <row r="170" spans="1:5" x14ac:dyDescent="0.25">
      <c r="A170" s="1">
        <v>6</v>
      </c>
      <c r="B170" s="1">
        <f>0.561-0.744</f>
        <v>-0.18299999999999994</v>
      </c>
      <c r="C170" s="1">
        <f>99.9-103.7</f>
        <v>-3.7999999999999972</v>
      </c>
      <c r="D170" s="1">
        <f>97.6-98</f>
        <v>-0.40000000000000568</v>
      </c>
      <c r="E170" s="1">
        <v>0</v>
      </c>
    </row>
    <row r="171" spans="1:5" x14ac:dyDescent="0.25">
      <c r="A171" s="1">
        <v>5</v>
      </c>
      <c r="B171" s="1">
        <f>0.671-0.61</f>
        <v>6.1000000000000054E-2</v>
      </c>
      <c r="C171" s="1">
        <f>104.8-107.5</f>
        <v>-2.7000000000000028</v>
      </c>
      <c r="D171" s="1">
        <f>101-102.7</f>
        <v>-1.7000000000000028</v>
      </c>
      <c r="E171" s="1">
        <v>2</v>
      </c>
    </row>
    <row r="172" spans="1:5" x14ac:dyDescent="0.25">
      <c r="A172" s="1">
        <v>5</v>
      </c>
      <c r="B172" s="1">
        <f>0.697-0.712</f>
        <v>-1.5000000000000013E-2</v>
      </c>
      <c r="C172" s="1">
        <f>98.5-103.1</f>
        <v>-4.5999999999999943</v>
      </c>
      <c r="D172" s="1">
        <f>92.5-96.9</f>
        <v>-4.4000000000000057</v>
      </c>
      <c r="E172" s="1">
        <v>0</v>
      </c>
    </row>
    <row r="173" spans="1:5" x14ac:dyDescent="0.25">
      <c r="A173" s="1">
        <v>7</v>
      </c>
      <c r="B173" s="1">
        <f>0.697-0.591</f>
        <v>0.10599999999999998</v>
      </c>
      <c r="C173" s="1">
        <f>98.5-91.8</f>
        <v>6.7000000000000028</v>
      </c>
      <c r="D173" s="1">
        <f>92.5-89.3</f>
        <v>3.2000000000000028</v>
      </c>
      <c r="E173" s="1">
        <v>-2</v>
      </c>
    </row>
    <row r="174" spans="1:5" x14ac:dyDescent="0.25">
      <c r="A174" s="1">
        <v>6</v>
      </c>
      <c r="B174" s="1">
        <f>0.712-0.758</f>
        <v>-4.6000000000000041E-2</v>
      </c>
      <c r="C174" s="1">
        <f>103.1-103.7</f>
        <v>-0.60000000000000853</v>
      </c>
      <c r="D174" s="1">
        <f>96.9-96.5</f>
        <v>0.40000000000000568</v>
      </c>
      <c r="E174" s="1">
        <v>-1</v>
      </c>
    </row>
    <row r="175" spans="1:5" x14ac:dyDescent="0.25">
      <c r="A175" s="1">
        <v>7</v>
      </c>
      <c r="B175" s="1">
        <f>0.591-0.53</f>
        <v>6.0999999999999943E-2</v>
      </c>
      <c r="C175" s="1">
        <f>91.8-93.6</f>
        <v>-1.7999999999999972</v>
      </c>
      <c r="D175" s="1">
        <f>89.3-89.4</f>
        <v>-0.10000000000000853</v>
      </c>
      <c r="E175" s="1">
        <v>-1</v>
      </c>
    </row>
    <row r="176" spans="1:5" x14ac:dyDescent="0.25">
      <c r="A176" s="1">
        <v>6</v>
      </c>
      <c r="B176" s="1">
        <f>0.697-0.636</f>
        <v>6.0999999999999943E-2</v>
      </c>
      <c r="C176" s="1">
        <f>98.5-97.7</f>
        <v>0.79999999999999716</v>
      </c>
      <c r="D176" s="1">
        <f>92.5-94.4</f>
        <v>-1.9000000000000057</v>
      </c>
      <c r="E176" s="1">
        <v>2</v>
      </c>
    </row>
    <row r="177" spans="1:5" x14ac:dyDescent="0.25">
      <c r="A177" s="1">
        <v>5</v>
      </c>
      <c r="B177" s="1">
        <f>0.712-0.621</f>
        <v>9.099999999999997E-2</v>
      </c>
      <c r="C177" s="1">
        <f>103.1-97.3</f>
        <v>5.7999999999999972</v>
      </c>
      <c r="D177" s="1">
        <f>96.9-95.9</f>
        <v>1</v>
      </c>
      <c r="E177" s="1">
        <v>1</v>
      </c>
    </row>
    <row r="178" spans="1:5" x14ac:dyDescent="0.25">
      <c r="A178" s="1">
        <v>4</v>
      </c>
      <c r="B178" s="1">
        <f>0.758-0.606</f>
        <v>0.15200000000000002</v>
      </c>
      <c r="C178" s="1">
        <f>103.7-97.5</f>
        <v>6.2000000000000028</v>
      </c>
      <c r="D178" s="1">
        <f>96.5-95</f>
        <v>1.5</v>
      </c>
      <c r="E178" s="1">
        <v>1</v>
      </c>
    </row>
    <row r="179" spans="1:5" x14ac:dyDescent="0.25">
      <c r="A179" s="1">
        <v>6</v>
      </c>
      <c r="B179" s="1">
        <f>0.591-0.606</f>
        <v>-1.5000000000000013E-2</v>
      </c>
      <c r="C179" s="1">
        <f>91.8-96.6</f>
        <v>-4.7999999999999972</v>
      </c>
      <c r="D179" s="1">
        <f>89.3-93.2</f>
        <v>-3.9000000000000057</v>
      </c>
      <c r="E179" s="1">
        <v>1</v>
      </c>
    </row>
    <row r="180" spans="1:5" x14ac:dyDescent="0.25">
      <c r="A180" s="1">
        <v>5</v>
      </c>
      <c r="B180" s="1">
        <f>0.636-0.561</f>
        <v>7.4999999999999956E-2</v>
      </c>
      <c r="C180" s="1">
        <f>97.7-94.2</f>
        <v>3.5</v>
      </c>
      <c r="D180" s="1">
        <f>94.4-93.4</f>
        <v>1</v>
      </c>
      <c r="E180" s="1">
        <v>-2</v>
      </c>
    </row>
    <row r="181" spans="1:5" x14ac:dyDescent="0.25">
      <c r="A181" s="1">
        <v>5</v>
      </c>
      <c r="B181" s="1">
        <f>0.697-0.545</f>
        <v>0.15199999999999991</v>
      </c>
      <c r="C181" s="1">
        <f>98.5-97.8</f>
        <v>0.70000000000000284</v>
      </c>
      <c r="D181" s="1">
        <f>92.5-94.7</f>
        <v>-2.2000000000000028</v>
      </c>
      <c r="E181" s="1">
        <v>3</v>
      </c>
    </row>
    <row r="182" spans="1:5" x14ac:dyDescent="0.25">
      <c r="A182" s="1">
        <v>6</v>
      </c>
      <c r="B182" s="1">
        <f>0.53-0.758</f>
        <v>-0.22799999999999998</v>
      </c>
      <c r="C182" s="1">
        <f>93.6-96.3</f>
        <v>-2.7000000000000028</v>
      </c>
      <c r="D182" s="1">
        <f>89.4-88.2</f>
        <v>1.2000000000000028</v>
      </c>
      <c r="E182" s="1">
        <v>-1</v>
      </c>
    </row>
    <row r="183" spans="1:5" x14ac:dyDescent="0.25">
      <c r="A183" s="1">
        <v>7</v>
      </c>
      <c r="B183" s="1">
        <f>0.606-0.621</f>
        <v>-1.5000000000000013E-2</v>
      </c>
      <c r="C183" s="1">
        <f>97.5-95</f>
        <v>2.5</v>
      </c>
      <c r="D183" s="1">
        <f>95-93</f>
        <v>2</v>
      </c>
      <c r="E183" s="1">
        <v>1</v>
      </c>
    </row>
    <row r="184" spans="1:5" x14ac:dyDescent="0.25">
      <c r="A184" s="1">
        <v>7</v>
      </c>
      <c r="B184" s="1">
        <f>0.621-0.576</f>
        <v>4.500000000000004E-2</v>
      </c>
      <c r="C184" s="1">
        <f>97.3-104.1</f>
        <v>-6.7999999999999972</v>
      </c>
      <c r="D184" s="1">
        <f>95.9-101.2</f>
        <v>-5.2999999999999972</v>
      </c>
      <c r="E184" s="1">
        <v>2</v>
      </c>
    </row>
    <row r="185" spans="1:5" x14ac:dyDescent="0.25">
      <c r="A185" s="1">
        <v>4</v>
      </c>
      <c r="B185" s="1">
        <f>0.712-0.545</f>
        <v>0.16699999999999993</v>
      </c>
      <c r="C185" s="1">
        <f>103.1-95.8</f>
        <v>7.2999999999999972</v>
      </c>
      <c r="D185" s="1">
        <f>96.9-94.8</f>
        <v>2.1000000000000085</v>
      </c>
      <c r="E185" s="1">
        <v>2</v>
      </c>
    </row>
    <row r="186" spans="1:5" x14ac:dyDescent="0.25">
      <c r="A186" s="1">
        <v>4</v>
      </c>
      <c r="B186" s="1">
        <f>0.758-0.545</f>
        <v>0.21299999999999997</v>
      </c>
      <c r="C186" s="1">
        <f>103.7-99.7</f>
        <v>4</v>
      </c>
      <c r="D186" s="1">
        <f>96.5-99</f>
        <v>-2.5</v>
      </c>
      <c r="E186" s="1">
        <v>2</v>
      </c>
    </row>
    <row r="187" spans="1:5" x14ac:dyDescent="0.25">
      <c r="A187" s="1">
        <v>7</v>
      </c>
      <c r="B187" s="1">
        <f>0.805-0.707</f>
        <v>9.8000000000000087E-2</v>
      </c>
      <c r="C187" s="1">
        <f>102.9-103</f>
        <v>-9.9999999999994316E-2</v>
      </c>
      <c r="D187" s="1">
        <f>95-96.6</f>
        <v>-1.5999999999999943</v>
      </c>
      <c r="E187" s="1">
        <v>2</v>
      </c>
    </row>
    <row r="188" spans="1:5" x14ac:dyDescent="0.25">
      <c r="A188" s="1">
        <v>7</v>
      </c>
      <c r="B188" s="1">
        <f>0.805-0.605</f>
        <v>0.20000000000000007</v>
      </c>
      <c r="C188" s="1">
        <f>102.9-94.7</f>
        <v>8.2000000000000028</v>
      </c>
      <c r="D188" s="1">
        <f>95-90.7</f>
        <v>4.2999999999999972</v>
      </c>
      <c r="E188" s="1">
        <v>-1</v>
      </c>
    </row>
    <row r="189" spans="1:5" x14ac:dyDescent="0.25">
      <c r="A189" s="1">
        <v>4</v>
      </c>
      <c r="B189" s="1">
        <f>0.707-0.683</f>
        <v>2.399999999999991E-2</v>
      </c>
      <c r="C189" s="1">
        <f>103-93.4</f>
        <v>9.5999999999999943</v>
      </c>
      <c r="D189" s="1">
        <f>96.6-89.3</f>
        <v>7.2999999999999972</v>
      </c>
      <c r="E189" s="1">
        <v>0</v>
      </c>
    </row>
    <row r="190" spans="1:5" x14ac:dyDescent="0.25">
      <c r="A190" s="1">
        <v>6</v>
      </c>
      <c r="B190" s="1">
        <f>0.605-0.659</f>
        <v>-5.4000000000000048E-2</v>
      </c>
      <c r="C190" s="1">
        <f>94.7-100</f>
        <v>-5.2999999999999972</v>
      </c>
      <c r="D190" s="1">
        <f>90.7-95.7</f>
        <v>-5</v>
      </c>
      <c r="E190" s="1">
        <v>0</v>
      </c>
    </row>
    <row r="191" spans="1:5" x14ac:dyDescent="0.25">
      <c r="A191" s="1">
        <v>5</v>
      </c>
      <c r="B191" s="1">
        <f>0.805-0.549</f>
        <v>0.25600000000000001</v>
      </c>
      <c r="C191" s="1">
        <f>102.9-93.2</f>
        <v>9.7000000000000028</v>
      </c>
      <c r="D191" s="1">
        <f>95-92.9</f>
        <v>2.0999999999999943</v>
      </c>
      <c r="E191" s="1">
        <v>0</v>
      </c>
    </row>
    <row r="192" spans="1:5" x14ac:dyDescent="0.25">
      <c r="A192" s="1">
        <v>5</v>
      </c>
      <c r="B192" s="1">
        <f>0.683-0.732</f>
        <v>-4.8999999999999932E-2</v>
      </c>
      <c r="C192" s="1">
        <f>93.4-105.7</f>
        <v>-12.299999999999997</v>
      </c>
      <c r="D192" s="1">
        <f>89.3-96.5</f>
        <v>-7.2000000000000028</v>
      </c>
      <c r="E192" s="1">
        <v>1</v>
      </c>
    </row>
    <row r="193" spans="1:5" x14ac:dyDescent="0.25">
      <c r="A193" s="1">
        <v>6</v>
      </c>
      <c r="B193" s="1">
        <f>0.707-0.573</f>
        <v>0.13400000000000001</v>
      </c>
      <c r="C193" s="1">
        <f>103-101.2</f>
        <v>1.7999999999999972</v>
      </c>
      <c r="D193" s="1">
        <f>96.6-100.3</f>
        <v>-3.7000000000000028</v>
      </c>
      <c r="E193" s="1">
        <v>0</v>
      </c>
    </row>
    <row r="194" spans="1:5" x14ac:dyDescent="0.25">
      <c r="A194" s="1">
        <v>7</v>
      </c>
      <c r="B194" s="1">
        <f>0.549-0.598</f>
        <v>-4.8999999999999932E-2</v>
      </c>
      <c r="C194" s="1">
        <f>93.2-96.9</f>
        <v>-3.7000000000000028</v>
      </c>
      <c r="D194" s="1">
        <f>92.9-95.1</f>
        <v>-2.1999999999999886</v>
      </c>
      <c r="E194" s="1">
        <v>2</v>
      </c>
    </row>
    <row r="195" spans="1:5" x14ac:dyDescent="0.25">
      <c r="A195" s="1">
        <v>6</v>
      </c>
      <c r="B195" s="1">
        <f>0.605-0.537</f>
        <v>6.7999999999999949E-2</v>
      </c>
      <c r="C195" s="1">
        <f>94.7-98</f>
        <v>-3.2999999999999972</v>
      </c>
      <c r="D195" s="1">
        <f>90.7-97.5</f>
        <v>-6.7999999999999972</v>
      </c>
      <c r="E195" s="1">
        <v>0</v>
      </c>
    </row>
    <row r="196" spans="1:5" x14ac:dyDescent="0.25">
      <c r="A196" s="1">
        <v>4</v>
      </c>
      <c r="B196" s="1">
        <f>0.805-0.463</f>
        <v>0.34200000000000003</v>
      </c>
      <c r="C196" s="1">
        <f>102.9-98.9</f>
        <v>4</v>
      </c>
      <c r="D196" s="1">
        <f>95-100.4</f>
        <v>-5.4000000000000057</v>
      </c>
      <c r="E196" s="1">
        <v>2</v>
      </c>
    </row>
    <row r="197" spans="1:5" x14ac:dyDescent="0.25">
      <c r="A197" s="1">
        <v>6</v>
      </c>
      <c r="B197" s="1">
        <f>0.659-0.506</f>
        <v>0.15300000000000002</v>
      </c>
      <c r="C197" s="1">
        <f>100-96.5</f>
        <v>3.5</v>
      </c>
      <c r="D197" s="1">
        <f>95.7-96.7</f>
        <v>-1</v>
      </c>
      <c r="E197" s="1">
        <v>2</v>
      </c>
    </row>
    <row r="198" spans="1:5" x14ac:dyDescent="0.25">
      <c r="A198" s="1">
        <v>6</v>
      </c>
      <c r="B198" s="1">
        <f>0.573-0.695</f>
        <v>-0.122</v>
      </c>
      <c r="C198" s="1">
        <f>101.2-106.1</f>
        <v>-4.8999999999999915</v>
      </c>
      <c r="D198" s="1">
        <f>100.3-101.1</f>
        <v>-0.79999999999999716</v>
      </c>
      <c r="E198" s="1">
        <v>-2</v>
      </c>
    </row>
    <row r="199" spans="1:5" x14ac:dyDescent="0.25">
      <c r="A199" s="1">
        <v>6</v>
      </c>
      <c r="B199" s="1">
        <f>0.683-0.683</f>
        <v>0</v>
      </c>
      <c r="C199" s="1">
        <f>93.4-101.1</f>
        <v>-7.6999999999999886</v>
      </c>
      <c r="D199" s="1">
        <f>89.3-94.6</f>
        <v>-5.2999999999999972</v>
      </c>
      <c r="E199" s="1">
        <v>-2</v>
      </c>
    </row>
    <row r="200" spans="1:5" x14ac:dyDescent="0.25">
      <c r="A200" s="1">
        <v>6</v>
      </c>
      <c r="B200" s="1">
        <f>0.732-0.549</f>
        <v>0.18299999999999994</v>
      </c>
      <c r="C200" s="1">
        <f>105.7-106</f>
        <v>-0.29999999999999716</v>
      </c>
      <c r="D200" s="1">
        <f>96.5-102.5</f>
        <v>-6</v>
      </c>
      <c r="E200" s="1">
        <v>1</v>
      </c>
    </row>
    <row r="201" spans="1:5" x14ac:dyDescent="0.25">
      <c r="A201" s="1">
        <v>4</v>
      </c>
      <c r="B201" s="1">
        <f>0.707-0.549</f>
        <v>0.15799999999999992</v>
      </c>
      <c r="C201" s="1">
        <f>103-102.2</f>
        <v>0.79999999999999716</v>
      </c>
      <c r="D201" s="1">
        <f>96.6-101</f>
        <v>-4.4000000000000057</v>
      </c>
      <c r="E201" s="1">
        <v>1</v>
      </c>
    </row>
    <row r="202" spans="1:5" x14ac:dyDescent="0.25">
      <c r="A202" s="1">
        <v>5</v>
      </c>
      <c r="B202" s="1">
        <f>0.756-0.659</f>
        <v>9.6999999999999975E-2</v>
      </c>
      <c r="C202" s="1">
        <f>105.4-102.2</f>
        <v>3.2000000000000028</v>
      </c>
      <c r="D202" s="1">
        <f>97.6-97.4</f>
        <v>0.19999999999998863</v>
      </c>
      <c r="E202" s="1">
        <v>0</v>
      </c>
    </row>
    <row r="203" spans="1:5" x14ac:dyDescent="0.25">
      <c r="A203" s="1">
        <v>6</v>
      </c>
      <c r="B203" s="1">
        <f>0.659-0.683</f>
        <v>-2.4000000000000021E-2</v>
      </c>
      <c r="C203" s="1">
        <f>102.2-96.7</f>
        <v>5.5</v>
      </c>
      <c r="D203" s="1">
        <f>97.4-92.3</f>
        <v>5.1000000000000085</v>
      </c>
      <c r="E203" s="1">
        <v>0</v>
      </c>
    </row>
    <row r="204" spans="1:5" x14ac:dyDescent="0.25">
      <c r="A204" s="1">
        <v>6</v>
      </c>
      <c r="B204" s="1">
        <f>0.756-0.72</f>
        <v>3.6000000000000032E-2</v>
      </c>
      <c r="C204" s="1">
        <f>105.4-106.2</f>
        <v>-0.79999999999999716</v>
      </c>
      <c r="D204" s="1">
        <f>97.6-99.8</f>
        <v>-2.2000000000000028</v>
      </c>
      <c r="E204" s="1">
        <v>-4</v>
      </c>
    </row>
    <row r="205" spans="1:5" x14ac:dyDescent="0.25">
      <c r="A205" s="1">
        <v>6</v>
      </c>
      <c r="B205" s="1">
        <f>0.683-0.537</f>
        <v>0.14600000000000002</v>
      </c>
      <c r="C205" s="1">
        <f>96.7-100.7</f>
        <v>-4</v>
      </c>
      <c r="D205" s="1">
        <f>92.3-99.4</f>
        <v>-7.1000000000000085</v>
      </c>
      <c r="E205" s="1">
        <v>1</v>
      </c>
    </row>
    <row r="206" spans="1:5" x14ac:dyDescent="0.25">
      <c r="A206" s="1">
        <v>5</v>
      </c>
      <c r="B206" s="1">
        <f>0.659-0.537</f>
        <v>0.122</v>
      </c>
      <c r="C206" s="1">
        <f>102.2-98.5</f>
        <v>3.7000000000000028</v>
      </c>
      <c r="D206" s="1">
        <f>97.4-99.5</f>
        <v>-2.0999999999999943</v>
      </c>
      <c r="E206" s="1">
        <v>-4</v>
      </c>
    </row>
    <row r="207" spans="1:5" x14ac:dyDescent="0.25">
      <c r="A207" s="1">
        <v>6</v>
      </c>
      <c r="B207" s="1">
        <f>0.72-0.695</f>
        <v>2.5000000000000022E-2</v>
      </c>
      <c r="C207" s="1">
        <f>106.2-107.9</f>
        <v>-1.7000000000000028</v>
      </c>
      <c r="D207" s="1">
        <f>99.8-101</f>
        <v>-1.2000000000000028</v>
      </c>
      <c r="E207" s="1">
        <v>0</v>
      </c>
    </row>
    <row r="208" spans="1:5" x14ac:dyDescent="0.25">
      <c r="A208" s="1">
        <v>5</v>
      </c>
      <c r="B208" s="1">
        <f>0.756-0.659</f>
        <v>9.6999999999999975E-2</v>
      </c>
      <c r="C208" s="1">
        <f>105.4-106.7</f>
        <v>-1.2999999999999972</v>
      </c>
      <c r="D208" s="1">
        <f>97.6-102.8</f>
        <v>-5.2000000000000028</v>
      </c>
      <c r="E208" s="1">
        <v>0</v>
      </c>
    </row>
    <row r="209" spans="1:5" x14ac:dyDescent="0.25">
      <c r="A209" s="1">
        <v>7</v>
      </c>
      <c r="B209" s="1">
        <f>0.537-0.585</f>
        <v>-4.7999999999999932E-2</v>
      </c>
      <c r="C209" s="1">
        <f>98.5-101.3</f>
        <v>-2.7999999999999972</v>
      </c>
      <c r="D209" s="1">
        <f>99.5-98</f>
        <v>1.5</v>
      </c>
      <c r="E209" s="1">
        <v>0</v>
      </c>
    </row>
    <row r="210" spans="1:5" x14ac:dyDescent="0.25">
      <c r="A210" s="1">
        <v>7</v>
      </c>
      <c r="B210" s="1">
        <f>0.683-0.463</f>
        <v>0.22000000000000003</v>
      </c>
      <c r="C210" s="1">
        <f>96.7-101</f>
        <v>-4.2999999999999972</v>
      </c>
      <c r="D210" s="1">
        <f>92.3-101.5</f>
        <v>-9.2000000000000028</v>
      </c>
      <c r="E210" s="1">
        <v>0</v>
      </c>
    </row>
    <row r="211" spans="1:5" x14ac:dyDescent="0.25">
      <c r="A211" s="1">
        <v>4</v>
      </c>
      <c r="B211" s="1">
        <f>0.659-0.524</f>
        <v>0.13500000000000001</v>
      </c>
      <c r="C211" s="1">
        <f>102.2-96.9</f>
        <v>5.2999999999999972</v>
      </c>
      <c r="D211" s="1">
        <f>97.4-97.1</f>
        <v>0.30000000000001137</v>
      </c>
      <c r="E211" s="1">
        <v>4</v>
      </c>
    </row>
    <row r="212" spans="1:5" x14ac:dyDescent="0.25">
      <c r="A212" s="1">
        <v>5</v>
      </c>
      <c r="B212" s="1">
        <f>0.537-0.585</f>
        <v>-4.7999999999999932E-2</v>
      </c>
      <c r="C212" s="1">
        <f>100.7-93.7</f>
        <v>7</v>
      </c>
      <c r="D212" s="1">
        <f>99.4-91.8</f>
        <v>7.6000000000000085</v>
      </c>
      <c r="E212" s="1">
        <v>1</v>
      </c>
    </row>
    <row r="213" spans="1:5" x14ac:dyDescent="0.25">
      <c r="A213" s="1">
        <v>7</v>
      </c>
      <c r="B213" s="1">
        <f>0.695-0.622</f>
        <v>7.2999999999999954E-2</v>
      </c>
      <c r="C213" s="1">
        <f>107.9-104.3</f>
        <v>3.6000000000000085</v>
      </c>
      <c r="D213" s="1">
        <f>101-99.5</f>
        <v>1.5</v>
      </c>
      <c r="E213" s="1">
        <v>0</v>
      </c>
    </row>
    <row r="214" spans="1:5" x14ac:dyDescent="0.25">
      <c r="A214" s="1">
        <v>7</v>
      </c>
      <c r="B214" s="1">
        <f>0.72-0.61</f>
        <v>0.10999999999999999</v>
      </c>
      <c r="C214" s="1">
        <f>106.2-96.1</f>
        <v>10.100000000000009</v>
      </c>
      <c r="D214" s="1">
        <f>99.8-94.6</f>
        <v>5.2000000000000028</v>
      </c>
      <c r="E214" s="1">
        <v>2</v>
      </c>
    </row>
    <row r="215" spans="1:5" x14ac:dyDescent="0.25">
      <c r="A215" s="1">
        <v>6</v>
      </c>
      <c r="B215" s="1">
        <f>0.659-0.659</f>
        <v>0</v>
      </c>
      <c r="C215" s="1">
        <f>106.7-107.7</f>
        <v>-1</v>
      </c>
      <c r="D215" s="1">
        <f>102.8-103.1</f>
        <v>-0.29999999999999716</v>
      </c>
      <c r="E215" s="1">
        <v>-2</v>
      </c>
    </row>
    <row r="216" spans="1:5" x14ac:dyDescent="0.25">
      <c r="A216" s="1">
        <v>7</v>
      </c>
      <c r="B216" s="1">
        <f>0.756-0.598</f>
        <v>0.15800000000000003</v>
      </c>
      <c r="C216" s="1">
        <f>105.4-104.8</f>
        <v>0.60000000000000853</v>
      </c>
      <c r="D216" s="1">
        <f>97.6-102.4</f>
        <v>-4.8000000000000114</v>
      </c>
      <c r="E216" s="1">
        <v>4</v>
      </c>
    </row>
    <row r="217" spans="1:5" x14ac:dyDescent="0.25">
      <c r="A217" s="1">
        <v>6</v>
      </c>
      <c r="B217" s="1">
        <f>0.817-0.646</f>
        <v>0.17099999999999993</v>
      </c>
      <c r="C217" s="1">
        <f>110-103.1</f>
        <v>6.9000000000000057</v>
      </c>
      <c r="D217" s="1">
        <f>99.9-98.7</f>
        <v>1.2000000000000028</v>
      </c>
      <c r="E217" s="1">
        <v>0</v>
      </c>
    </row>
    <row r="218" spans="1:5" x14ac:dyDescent="0.25">
      <c r="A218" s="1">
        <v>4</v>
      </c>
      <c r="B218" s="1">
        <f>0.646-0.732</f>
        <v>-8.5999999999999965E-2</v>
      </c>
      <c r="C218" s="1">
        <f>103.1-102.5</f>
        <v>0.59999999999999432</v>
      </c>
      <c r="D218" s="1">
        <f>98.7-97.1</f>
        <v>1.6000000000000085</v>
      </c>
      <c r="E218" s="1">
        <v>-2</v>
      </c>
    </row>
    <row r="219" spans="1:5" x14ac:dyDescent="0.25">
      <c r="A219" s="1">
        <v>5</v>
      </c>
      <c r="B219" s="1">
        <f>0.817-0.683</f>
        <v>0.1339999999999999</v>
      </c>
      <c r="C219" s="1">
        <f>110-103.9</f>
        <v>6.0999999999999943</v>
      </c>
      <c r="D219" s="1">
        <f>99.9-100.5</f>
        <v>-0.59999999999999432</v>
      </c>
      <c r="E219" s="1">
        <v>4</v>
      </c>
    </row>
    <row r="220" spans="1:5" x14ac:dyDescent="0.25">
      <c r="A220" s="1">
        <v>6</v>
      </c>
      <c r="B220" s="1">
        <f>0.732-0.561</f>
        <v>0.17099999999999993</v>
      </c>
      <c r="C220" s="1">
        <f>102.5-98.5</f>
        <v>4</v>
      </c>
      <c r="D220" s="1">
        <f>97.1-97.8</f>
        <v>-0.70000000000000284</v>
      </c>
      <c r="E220" s="1">
        <v>2</v>
      </c>
    </row>
    <row r="221" spans="1:5" x14ac:dyDescent="0.25">
      <c r="A221" s="1">
        <v>6</v>
      </c>
      <c r="B221" s="1">
        <f>0.646-0.61</f>
        <v>3.6000000000000032E-2</v>
      </c>
      <c r="C221" s="1">
        <f>103.1-100.8</f>
        <v>2.2999999999999972</v>
      </c>
      <c r="D221" s="1">
        <f>98.7-97.8</f>
        <v>0.90000000000000568</v>
      </c>
      <c r="E221" s="1">
        <v>2</v>
      </c>
    </row>
    <row r="222" spans="1:5" x14ac:dyDescent="0.25">
      <c r="A222" s="1">
        <v>6</v>
      </c>
      <c r="B222" s="1">
        <f>0.817-0.671</f>
        <v>0.14599999999999991</v>
      </c>
      <c r="C222" s="1">
        <f>110-98.3</f>
        <v>11.700000000000003</v>
      </c>
      <c r="D222" s="1">
        <f>99.9-95.1</f>
        <v>4.8000000000000114</v>
      </c>
      <c r="E222" s="1">
        <v>1</v>
      </c>
    </row>
    <row r="223" spans="1:5" x14ac:dyDescent="0.25">
      <c r="A223" s="1">
        <v>7</v>
      </c>
      <c r="B223" s="1">
        <f>0.683-0.683</f>
        <v>0</v>
      </c>
      <c r="C223" s="1">
        <f>103.9-106.7</f>
        <v>-2.7999999999999972</v>
      </c>
      <c r="D223" s="1">
        <f>100.5-100.1</f>
        <v>0.40000000000000568</v>
      </c>
      <c r="E223" s="1">
        <v>0</v>
      </c>
    </row>
    <row r="224" spans="1:5" x14ac:dyDescent="0.25">
      <c r="A224" s="1">
        <v>6</v>
      </c>
      <c r="B224" s="1">
        <f>0.732-0.463</f>
        <v>0.26899999999999996</v>
      </c>
      <c r="C224" s="1">
        <f>102.5-98</f>
        <v>4.5</v>
      </c>
      <c r="D224" s="1">
        <f>97.1-100.9</f>
        <v>-3.8000000000000114</v>
      </c>
      <c r="E224" s="1">
        <v>4</v>
      </c>
    </row>
    <row r="225" spans="1:5" x14ac:dyDescent="0.25">
      <c r="A225" s="1">
        <v>6</v>
      </c>
      <c r="B225" s="1">
        <f>0.61-0.5</f>
        <v>0.10999999999999999</v>
      </c>
      <c r="C225" s="1">
        <f>100.8-97.8</f>
        <v>3</v>
      </c>
      <c r="D225" s="1">
        <f>97.8-97.4</f>
        <v>0.39999999999999147</v>
      </c>
      <c r="E225" s="1">
        <v>2</v>
      </c>
    </row>
    <row r="226" spans="1:5" x14ac:dyDescent="0.25">
      <c r="A226" s="1">
        <v>4</v>
      </c>
      <c r="B226" s="1">
        <f>0.646-0.488</f>
        <v>0.15800000000000003</v>
      </c>
      <c r="C226" s="1">
        <f>103.1-101.4</f>
        <v>1.6999999999999886</v>
      </c>
      <c r="D226" s="1">
        <f>98.7-101.2</f>
        <v>-2.5</v>
      </c>
      <c r="E226" s="1">
        <v>0</v>
      </c>
    </row>
    <row r="227" spans="1:5" x14ac:dyDescent="0.25">
      <c r="A227" s="1">
        <v>4</v>
      </c>
      <c r="B227" s="1">
        <f>0.561-0.598</f>
        <v>-3.6999999999999922E-2</v>
      </c>
      <c r="C227" s="1">
        <f>98.5-104</f>
        <v>-5.5</v>
      </c>
      <c r="D227" s="1">
        <f>97.8-100.9</f>
        <v>-3.1000000000000085</v>
      </c>
      <c r="E227" s="1">
        <v>-3</v>
      </c>
    </row>
    <row r="228" spans="1:5" x14ac:dyDescent="0.25">
      <c r="A228" s="1">
        <v>4</v>
      </c>
      <c r="B228" s="3">
        <f>0.817-0.549</f>
        <v>0.2679999999999999</v>
      </c>
      <c r="C228" s="3">
        <f>110-99.4</f>
        <v>10.599999999999994</v>
      </c>
      <c r="D228" s="3">
        <f>99.9-98.6</f>
        <v>1.3000000000000114</v>
      </c>
      <c r="E228" s="1">
        <v>2</v>
      </c>
    </row>
    <row r="229" spans="1:5" x14ac:dyDescent="0.25">
      <c r="A229" s="1">
        <v>5</v>
      </c>
      <c r="B229" s="1">
        <f>0.683-0.61</f>
        <v>7.3000000000000065E-2</v>
      </c>
      <c r="C229" s="1">
        <f>103.9-105.2</f>
        <v>-1.2999999999999972</v>
      </c>
      <c r="D229" s="1">
        <f>100.5-102.3</f>
        <v>-1.7999999999999972</v>
      </c>
      <c r="E229" s="1">
        <v>2</v>
      </c>
    </row>
    <row r="230" spans="1:5" x14ac:dyDescent="0.25">
      <c r="A230" s="1">
        <v>7</v>
      </c>
      <c r="B230" s="1">
        <f>0.683-0.671</f>
        <v>1.2000000000000011E-2</v>
      </c>
      <c r="C230" s="1">
        <f>106.7-103.2</f>
        <v>3.5</v>
      </c>
      <c r="D230" s="1">
        <f>100.1-97</f>
        <v>3.0999999999999943</v>
      </c>
      <c r="E230" s="1">
        <v>0</v>
      </c>
    </row>
    <row r="231" spans="1:5" x14ac:dyDescent="0.25">
      <c r="A231" s="1">
        <v>5</v>
      </c>
      <c r="B231" s="1">
        <f>0.671-0.622</f>
        <v>4.9000000000000044E-2</v>
      </c>
      <c r="C231" s="1">
        <f>98.3-102.8</f>
        <v>-4.5</v>
      </c>
      <c r="D231" s="1">
        <f>95.1-98.6</f>
        <v>-3.5</v>
      </c>
      <c r="E231" s="1">
        <v>4</v>
      </c>
    </row>
    <row r="232" spans="1:5" x14ac:dyDescent="0.25">
      <c r="A232" s="1">
        <v>7</v>
      </c>
      <c r="B232" s="1">
        <f>0.695-0.89</f>
        <v>-0.19500000000000006</v>
      </c>
      <c r="C232" s="1">
        <f>104.3-114.9</f>
        <v>-10.600000000000009</v>
      </c>
      <c r="D232" s="1">
        <f>98.3-104.1</f>
        <v>-5.7999999999999972</v>
      </c>
      <c r="E232" s="1">
        <v>-2</v>
      </c>
    </row>
    <row r="233" spans="1:5" x14ac:dyDescent="0.25">
      <c r="A233" s="1">
        <v>6</v>
      </c>
      <c r="B233" s="1">
        <f>0.695-0.683</f>
        <v>1.19999999999999E-2</v>
      </c>
      <c r="C233" s="1">
        <f>104.3-102.7</f>
        <v>1.5999999999999943</v>
      </c>
      <c r="D233" s="1">
        <f>98.3-98.2</f>
        <v>9.9999999999994316E-2</v>
      </c>
      <c r="E233" s="1">
        <v>-1</v>
      </c>
    </row>
    <row r="234" spans="1:5" x14ac:dyDescent="0.25">
      <c r="A234" s="1">
        <v>7</v>
      </c>
      <c r="B234" s="1">
        <f>0.89-0.671</f>
        <v>0.21899999999999997</v>
      </c>
      <c r="C234" s="1">
        <f>114.9-110.2</f>
        <v>4.7000000000000028</v>
      </c>
      <c r="D234" s="1">
        <f>104.1-102.9</f>
        <v>1.1999999999999886</v>
      </c>
      <c r="E234" s="1">
        <v>3</v>
      </c>
    </row>
    <row r="235" spans="1:5" x14ac:dyDescent="0.25">
      <c r="A235" s="1">
        <v>4</v>
      </c>
      <c r="B235" s="1">
        <f>0.695-0.585</f>
        <v>0.10999999999999999</v>
      </c>
      <c r="C235" s="1">
        <f>104.3-102.8</f>
        <v>1.5</v>
      </c>
      <c r="D235" s="1">
        <f>98.3-99.2</f>
        <v>-0.90000000000000568</v>
      </c>
      <c r="E235" s="1">
        <v>3</v>
      </c>
    </row>
    <row r="236" spans="1:5" x14ac:dyDescent="0.25">
      <c r="A236" s="1">
        <v>7</v>
      </c>
      <c r="B236" s="1">
        <f>0.683-0.585</f>
        <v>9.8000000000000087E-2</v>
      </c>
      <c r="C236" s="1">
        <f>102.7-100</f>
        <v>2.7000000000000028</v>
      </c>
      <c r="D236" s="1">
        <f>98.2-98.4</f>
        <v>-0.20000000000000284</v>
      </c>
      <c r="E236" s="1">
        <v>2</v>
      </c>
    </row>
    <row r="237" spans="1:5" x14ac:dyDescent="0.25">
      <c r="A237" s="1">
        <v>5</v>
      </c>
      <c r="B237" s="1">
        <f>0.89-0.537</f>
        <v>0.35299999999999998</v>
      </c>
      <c r="C237" s="1">
        <f>114.9-105.1</f>
        <v>9.8000000000000114</v>
      </c>
      <c r="D237" s="1">
        <f>104.1-104.3</f>
        <v>-0.20000000000000284</v>
      </c>
      <c r="E237" s="1">
        <v>2</v>
      </c>
    </row>
    <row r="238" spans="1:5" x14ac:dyDescent="0.25">
      <c r="A238" s="1">
        <v>6</v>
      </c>
      <c r="B238" s="1">
        <f>0.671-0.817</f>
        <v>-0.14599999999999991</v>
      </c>
      <c r="C238" s="1">
        <f>110.2-103.5</f>
        <v>6.7000000000000028</v>
      </c>
      <c r="D238" s="1">
        <f>102.9-92.9</f>
        <v>10</v>
      </c>
      <c r="E238" s="1">
        <v>0</v>
      </c>
    </row>
    <row r="239" spans="1:5" x14ac:dyDescent="0.25">
      <c r="A239" s="1">
        <v>6</v>
      </c>
      <c r="B239" s="1">
        <f>0.585-0.585</f>
        <v>0</v>
      </c>
      <c r="C239" s="1">
        <f>102.8-105.7</f>
        <v>-2.9000000000000057</v>
      </c>
      <c r="D239" s="1">
        <f>99.2-102.5</f>
        <v>-3.2999999999999972</v>
      </c>
      <c r="E239" s="1">
        <v>2</v>
      </c>
    </row>
    <row r="240" spans="1:5" x14ac:dyDescent="0.25">
      <c r="A240" s="1">
        <v>4</v>
      </c>
      <c r="B240" s="1">
        <f>0.695-0.537</f>
        <v>0.15799999999999992</v>
      </c>
      <c r="C240" s="1">
        <f>104.3-102</f>
        <v>2.2999999999999972</v>
      </c>
      <c r="D240" s="1">
        <f>98.3-101.4</f>
        <v>-3.1000000000000085</v>
      </c>
      <c r="E240" s="1">
        <v>-2</v>
      </c>
    </row>
    <row r="241" spans="1:5" x14ac:dyDescent="0.25">
      <c r="A241" s="1">
        <v>7</v>
      </c>
      <c r="B241" s="1">
        <f>0.585-0.585</f>
        <v>0</v>
      </c>
      <c r="C241" s="1">
        <f>100-103.4</f>
        <v>-3.4000000000000057</v>
      </c>
      <c r="D241" s="1">
        <f>98.4-100.7</f>
        <v>-2.2999999999999972</v>
      </c>
      <c r="E241" s="1">
        <v>0</v>
      </c>
    </row>
    <row r="242" spans="1:5" x14ac:dyDescent="0.25">
      <c r="A242" s="1">
        <v>7</v>
      </c>
      <c r="B242" s="1">
        <f>0.683-0.549</f>
        <v>0.13400000000000001</v>
      </c>
      <c r="C242" s="1">
        <f>102.7-102.2</f>
        <v>0.5</v>
      </c>
      <c r="D242" s="1">
        <f>98.2-100.5</f>
        <v>-2.2999999999999972</v>
      </c>
      <c r="E242" s="1">
        <v>2</v>
      </c>
    </row>
    <row r="243" spans="1:5" x14ac:dyDescent="0.25">
      <c r="A243" s="1">
        <v>5</v>
      </c>
      <c r="B243" s="1">
        <f>0.89-0.5</f>
        <v>0.39</v>
      </c>
      <c r="C243" s="1">
        <f>114.9-106.5</f>
        <v>8.4000000000000057</v>
      </c>
      <c r="D243" s="1">
        <f>104.1-106.4</f>
        <v>-2.3000000000000114</v>
      </c>
      <c r="E243" s="1">
        <v>3</v>
      </c>
    </row>
    <row r="244" spans="1:5" x14ac:dyDescent="0.25">
      <c r="A244" s="1">
        <v>5</v>
      </c>
      <c r="B244" s="1">
        <f>0.671-0.512</f>
        <v>0.15900000000000003</v>
      </c>
      <c r="C244" s="1">
        <f>110.2-102.3</f>
        <v>7.9000000000000057</v>
      </c>
      <c r="D244" s="1">
        <f>102.9-102.6</f>
        <v>0.30000000000001137</v>
      </c>
      <c r="E244" s="1">
        <v>4</v>
      </c>
    </row>
    <row r="245" spans="1:5" x14ac:dyDescent="0.25">
      <c r="A245" s="1">
        <v>6</v>
      </c>
      <c r="B245" s="1">
        <f>0.537-0.646</f>
        <v>-0.10899999999999999</v>
      </c>
      <c r="C245" s="1">
        <f>105.1-104.5</f>
        <v>0.59999999999999432</v>
      </c>
      <c r="D245" s="1">
        <f>104.3-100.2</f>
        <v>4.0999999999999943</v>
      </c>
      <c r="E245" s="1">
        <v>-2</v>
      </c>
    </row>
    <row r="246" spans="1:5" x14ac:dyDescent="0.25">
      <c r="A246" s="1">
        <v>4</v>
      </c>
      <c r="B246" s="1">
        <f>0.817-0.512</f>
        <v>0.30499999999999994</v>
      </c>
      <c r="C246" s="1">
        <f>103.5-99.1</f>
        <v>4.4000000000000057</v>
      </c>
      <c r="D246" s="1">
        <f>92.9-101.3</f>
        <v>-8.3999999999999915</v>
      </c>
      <c r="E246" s="1">
        <v>4</v>
      </c>
    </row>
    <row r="247" spans="1:5" x14ac:dyDescent="0.25">
      <c r="A247" s="1">
        <v>5</v>
      </c>
      <c r="B247" s="1">
        <f>0.817-0.622</f>
        <v>0.19499999999999995</v>
      </c>
      <c r="C247" s="1">
        <f>115.9-110.3</f>
        <v>5.6000000000000085</v>
      </c>
      <c r="D247" s="1">
        <f>104.3-107.2</f>
        <v>-2.9000000000000057</v>
      </c>
      <c r="E247" s="1">
        <v>0</v>
      </c>
    </row>
    <row r="248" spans="1:5" x14ac:dyDescent="0.25">
      <c r="A248" s="1">
        <v>5</v>
      </c>
      <c r="B248" s="1">
        <f>0.622-0.646</f>
        <v>-2.4000000000000021E-2</v>
      </c>
      <c r="C248" s="1">
        <f>110.3-108</f>
        <v>2.2999999999999972</v>
      </c>
      <c r="D248" s="1">
        <f>107.2-105.4</f>
        <v>1.7999999999999972</v>
      </c>
      <c r="E248" s="1">
        <v>2</v>
      </c>
    </row>
    <row r="249" spans="1:5" x14ac:dyDescent="0.25">
      <c r="A249" s="1">
        <v>4</v>
      </c>
      <c r="B249" s="1">
        <f>0.817-0.744</f>
        <v>7.2999999999999954E-2</v>
      </c>
      <c r="C249" s="1">
        <f>115.9-105.3</f>
        <v>10.600000000000009</v>
      </c>
      <c r="D249" s="1">
        <f>104.3-98.1</f>
        <v>6.2000000000000028</v>
      </c>
      <c r="E249" s="1">
        <v>-1</v>
      </c>
    </row>
    <row r="250" spans="1:5" x14ac:dyDescent="0.25">
      <c r="A250" s="1">
        <v>7</v>
      </c>
      <c r="B250" s="1">
        <f>0.646-0.598</f>
        <v>4.8000000000000043E-2</v>
      </c>
      <c r="C250" s="1">
        <f>108-109.2</f>
        <v>-1.2000000000000028</v>
      </c>
      <c r="D250" s="1">
        <f>105.4-107.4</f>
        <v>-2</v>
      </c>
      <c r="E250" s="1">
        <v>0</v>
      </c>
    </row>
    <row r="251" spans="1:5" x14ac:dyDescent="0.25">
      <c r="A251" s="1">
        <v>4</v>
      </c>
      <c r="B251" s="1">
        <f>0.622-0.622</f>
        <v>0</v>
      </c>
      <c r="C251" s="1">
        <f>110.3-106.9</f>
        <v>3.3999999999999915</v>
      </c>
      <c r="D251" s="1">
        <f>107.2-102.6</f>
        <v>4.6000000000000085</v>
      </c>
      <c r="E251" s="1">
        <v>2</v>
      </c>
    </row>
    <row r="252" spans="1:5" x14ac:dyDescent="0.25">
      <c r="A252" s="1">
        <v>4</v>
      </c>
      <c r="B252" s="1">
        <f>0.817-0.622</f>
        <v>0.19499999999999995</v>
      </c>
      <c r="C252" s="1">
        <f>115.9-100.7</f>
        <v>15.200000000000003</v>
      </c>
      <c r="D252" s="1">
        <f>104.3-96.8</f>
        <v>7.5</v>
      </c>
      <c r="E252" s="1">
        <v>1</v>
      </c>
    </row>
    <row r="253" spans="1:5" x14ac:dyDescent="0.25">
      <c r="A253" s="1">
        <v>6</v>
      </c>
      <c r="B253" s="1">
        <f>0.744-0.671</f>
        <v>7.2999999999999954E-2</v>
      </c>
      <c r="C253" s="1">
        <f>105.3-115.3</f>
        <v>-10</v>
      </c>
      <c r="D253" s="1">
        <f>98.1-109.6</f>
        <v>-11.5</v>
      </c>
      <c r="E253" s="1">
        <v>2</v>
      </c>
    </row>
    <row r="254" spans="1:5" x14ac:dyDescent="0.25">
      <c r="A254" s="1">
        <v>6</v>
      </c>
      <c r="B254" s="1">
        <f>0.646-0.5</f>
        <v>0.14600000000000002</v>
      </c>
      <c r="C254" s="1">
        <f>108-102.9</f>
        <v>5.0999999999999943</v>
      </c>
      <c r="D254" s="1">
        <f>105.4-102.4</f>
        <v>3</v>
      </c>
      <c r="E254" s="1">
        <v>0</v>
      </c>
    </row>
    <row r="255" spans="1:5" x14ac:dyDescent="0.25">
      <c r="A255" s="1">
        <v>4</v>
      </c>
      <c r="B255" s="1">
        <f>0.622-0.512</f>
        <v>0.10999999999999999</v>
      </c>
      <c r="C255" s="1">
        <f>110.3-105.1</f>
        <v>5.2000000000000028</v>
      </c>
      <c r="D255" s="1">
        <f>107.2-105.3</f>
        <v>1.9000000000000057</v>
      </c>
      <c r="E255" s="1">
        <v>2</v>
      </c>
    </row>
    <row r="256" spans="1:5" x14ac:dyDescent="0.25">
      <c r="A256" s="1">
        <v>6</v>
      </c>
      <c r="B256" s="1">
        <f>0.622-0.512</f>
        <v>0.10999999999999999</v>
      </c>
      <c r="C256" s="1">
        <f>106.9-103.6</f>
        <v>3.3000000000000114</v>
      </c>
      <c r="D256" s="1">
        <f>102.6-103.8</f>
        <v>-1.2000000000000028</v>
      </c>
      <c r="E256" s="1">
        <v>2</v>
      </c>
    </row>
    <row r="257" spans="1:5" x14ac:dyDescent="0.25">
      <c r="A257" s="1">
        <v>6</v>
      </c>
      <c r="B257" s="1">
        <f>0.598-0.524</f>
        <v>7.3999999999999955E-2</v>
      </c>
      <c r="C257" s="1">
        <f>109.2-103.2</f>
        <v>6</v>
      </c>
      <c r="D257" s="1">
        <f>107.4-104</f>
        <v>3.4000000000000057</v>
      </c>
      <c r="E257" s="1">
        <v>2</v>
      </c>
    </row>
    <row r="258" spans="1:5" x14ac:dyDescent="0.25">
      <c r="A258" s="1">
        <v>4</v>
      </c>
      <c r="B258" s="1">
        <f>0.817-0.5</f>
        <v>0.31699999999999995</v>
      </c>
      <c r="C258" s="1">
        <f>115.9-107.9</f>
        <v>8</v>
      </c>
      <c r="D258" s="1">
        <f>104.3-108.5</f>
        <v>-4.2000000000000028</v>
      </c>
      <c r="E258" s="1">
        <v>4</v>
      </c>
    </row>
    <row r="259" spans="1:5" x14ac:dyDescent="0.25">
      <c r="A259" s="1">
        <v>5</v>
      </c>
      <c r="B259" s="1">
        <f>0.671-0.573</f>
        <v>9.8000000000000087E-2</v>
      </c>
      <c r="C259" s="1">
        <f>115.3-106.6</f>
        <v>8.7000000000000028</v>
      </c>
      <c r="D259" s="1">
        <f>109.6-105.8</f>
        <v>3.7999999999999972</v>
      </c>
      <c r="E259" s="1">
        <v>2</v>
      </c>
    </row>
    <row r="260" spans="1:5" x14ac:dyDescent="0.25">
      <c r="A260" s="1">
        <v>6</v>
      </c>
      <c r="B260" s="1">
        <f>0.744-0.524</f>
        <v>0.21999999999999997</v>
      </c>
      <c r="C260" s="1">
        <f>105.3-100.5</f>
        <v>4.7999999999999972</v>
      </c>
      <c r="D260" s="1">
        <f>98.1-100</f>
        <v>-1.9000000000000057</v>
      </c>
      <c r="E260" s="1">
        <v>0</v>
      </c>
    </row>
    <row r="261" spans="1:5" x14ac:dyDescent="0.25">
      <c r="A261" s="1">
        <v>7</v>
      </c>
      <c r="B261" s="1">
        <f>0.622-0.622</f>
        <v>0</v>
      </c>
      <c r="C261" s="1">
        <f>100.7-108.7</f>
        <v>-8</v>
      </c>
      <c r="D261" s="1">
        <f>96.8-104.4</f>
        <v>-7.6000000000000085</v>
      </c>
      <c r="E261" s="1">
        <v>-2</v>
      </c>
    </row>
    <row r="264" spans="1:5" x14ac:dyDescent="0.25">
      <c r="A264" s="1" t="s">
        <v>991</v>
      </c>
      <c r="B264" s="1"/>
      <c r="C264" s="1"/>
      <c r="D264" s="1"/>
      <c r="E264" s="1"/>
    </row>
    <row r="265" spans="1:5" x14ac:dyDescent="0.25">
      <c r="A265" s="1" t="s">
        <v>965</v>
      </c>
      <c r="B265" s="1">
        <f>0.72-0.524</f>
        <v>0.19599999999999995</v>
      </c>
      <c r="C265" s="1">
        <f>111.7-106.6</f>
        <v>5.1000000000000085</v>
      </c>
      <c r="D265" s="1">
        <f>103.9-106</f>
        <v>-2.0999999999999943</v>
      </c>
      <c r="E265" s="1">
        <v>0</v>
      </c>
    </row>
    <row r="266" spans="1:5" x14ac:dyDescent="0.25">
      <c r="A266" s="1" t="s">
        <v>966</v>
      </c>
      <c r="B266" s="1">
        <f>0.671-0.537</f>
        <v>0.13400000000000001</v>
      </c>
      <c r="C266" s="1">
        <f>104-106.5</f>
        <v>-2.5</v>
      </c>
      <c r="D266" s="1">
        <f>100.4-106.8</f>
        <v>-6.3999999999999915</v>
      </c>
      <c r="E266" s="1">
        <v>0</v>
      </c>
    </row>
    <row r="267" spans="1:5" x14ac:dyDescent="0.25">
      <c r="A267" s="1" t="s">
        <v>967</v>
      </c>
      <c r="B267" s="1">
        <f>0.634-0.537</f>
        <v>9.6999999999999975E-2</v>
      </c>
      <c r="C267" s="1">
        <f>109.8-103.4</f>
        <v>6.3999999999999915</v>
      </c>
      <c r="D267" s="1">
        <f>105.3-102.9</f>
        <v>2.3999999999999915</v>
      </c>
      <c r="E267" s="1">
        <v>0</v>
      </c>
    </row>
    <row r="268" spans="1:5" x14ac:dyDescent="0.25">
      <c r="A268" s="1" t="s">
        <v>909</v>
      </c>
      <c r="B268" s="1">
        <f>0.61-0.585</f>
        <v>2.5000000000000022E-2</v>
      </c>
      <c r="C268" s="1">
        <f>110.9-105.6</f>
        <v>5.3000000000000114</v>
      </c>
      <c r="D268" s="1">
        <f>109.9-104.2</f>
        <v>5.7000000000000028</v>
      </c>
      <c r="E268" s="1">
        <v>-2</v>
      </c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 t="s">
        <v>968</v>
      </c>
      <c r="B270" s="1">
        <f>0.793-0.573</f>
        <v>0.22000000000000008</v>
      </c>
      <c r="C270" s="1">
        <f>112.4-109.5</f>
        <v>2.9000000000000057</v>
      </c>
      <c r="D270" s="1">
        <f>103.9-107.3</f>
        <v>-3.3999999999999915</v>
      </c>
      <c r="E270" s="1">
        <v>4</v>
      </c>
    </row>
    <row r="271" spans="1:5" x14ac:dyDescent="0.25">
      <c r="A271" s="1" t="s">
        <v>904</v>
      </c>
      <c r="B271" s="1">
        <f>0.707-0.573</f>
        <v>0.13400000000000001</v>
      </c>
      <c r="C271" s="1">
        <f>113.5-102.7</f>
        <v>10.799999999999997</v>
      </c>
      <c r="D271" s="1">
        <f>107.5-99.8</f>
        <v>7.7000000000000028</v>
      </c>
      <c r="E271" s="1">
        <v>2</v>
      </c>
    </row>
    <row r="272" spans="1:5" x14ac:dyDescent="0.25">
      <c r="A272" s="1" t="s">
        <v>969</v>
      </c>
      <c r="B272" s="1">
        <f>0.598-0.585</f>
        <v>1.3000000000000012E-2</v>
      </c>
      <c r="C272" s="1">
        <f>105.6-111.7</f>
        <v>-6.1000000000000085</v>
      </c>
      <c r="D272" s="1">
        <f>103-110.4</f>
        <v>-7.4000000000000057</v>
      </c>
      <c r="E272" s="1">
        <v>0</v>
      </c>
    </row>
    <row r="273" spans="1:5" x14ac:dyDescent="0.25">
      <c r="A273" s="1" t="s">
        <v>970</v>
      </c>
      <c r="B273" s="1">
        <f>0.585-0.585</f>
        <v>0</v>
      </c>
      <c r="C273" s="1">
        <f>107.9-104.1</f>
        <v>3.8000000000000114</v>
      </c>
      <c r="D273" s="1">
        <f>104.4-99.8</f>
        <v>4.6000000000000085</v>
      </c>
      <c r="E273" s="1">
        <v>2</v>
      </c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382B-BB99-433A-A7FA-430B35523CE1}">
  <dimension ref="A1:J278"/>
  <sheetViews>
    <sheetView tabSelected="1" topLeftCell="A255" zoomScale="130" zoomScaleNormal="130" workbookViewId="0">
      <selection activeCell="A278" sqref="A278"/>
    </sheetView>
  </sheetViews>
  <sheetFormatPr defaultRowHeight="15" x14ac:dyDescent="0.25"/>
  <cols>
    <col min="1" max="1" width="42.5703125" customWidth="1"/>
    <col min="2" max="2" width="16.42578125" customWidth="1"/>
    <col min="3" max="3" width="14.140625" customWidth="1"/>
    <col min="4" max="4" width="16.140625" customWidth="1"/>
    <col min="5" max="5" width="14.42578125" customWidth="1"/>
    <col min="9" max="9" width="11.7109375" customWidth="1"/>
    <col min="10" max="10" width="10.28515625" customWidth="1"/>
  </cols>
  <sheetData>
    <row r="1" spans="1:5" x14ac:dyDescent="0.25">
      <c r="A1" s="1" t="s">
        <v>958</v>
      </c>
      <c r="B1" s="1" t="s">
        <v>959</v>
      </c>
      <c r="C1" s="1" t="s">
        <v>960</v>
      </c>
      <c r="D1" s="1" t="s">
        <v>961</v>
      </c>
      <c r="E1" s="1" t="s">
        <v>962</v>
      </c>
    </row>
    <row r="2" spans="1:5" x14ac:dyDescent="0.25">
      <c r="A2" s="4">
        <v>2</v>
      </c>
      <c r="B2" s="1">
        <f>0.756-0.756</f>
        <v>0</v>
      </c>
      <c r="C2" s="1">
        <f>96.7-101</f>
        <v>-4.2999999999999972</v>
      </c>
      <c r="D2" s="1">
        <f>89.6-94.4</f>
        <v>-4.8000000000000114</v>
      </c>
      <c r="E2" s="1">
        <v>-2</v>
      </c>
    </row>
    <row r="3" spans="1:5" x14ac:dyDescent="0.25">
      <c r="A3" s="1">
        <v>3</v>
      </c>
      <c r="B3" s="1">
        <f>0.756-0.707</f>
        <v>4.9000000000000044E-2</v>
      </c>
      <c r="C3" s="1">
        <f>96.7-96</f>
        <v>0.70000000000000284</v>
      </c>
      <c r="D3" s="1">
        <f>89.6-89.9</f>
        <v>-0.30000000000001137</v>
      </c>
      <c r="E3" s="1">
        <v>0</v>
      </c>
    </row>
    <row r="4" spans="1:5" x14ac:dyDescent="0.25">
      <c r="A4" s="1">
        <v>0</v>
      </c>
      <c r="B4" s="1">
        <f>0.756-0.744</f>
        <v>1.2000000000000011E-2</v>
      </c>
      <c r="C4" s="1">
        <f>101-105.5</f>
        <v>-4.5</v>
      </c>
      <c r="D4" s="1">
        <f>94.4-97.8</f>
        <v>-3.3999999999999915</v>
      </c>
      <c r="E4" s="1">
        <v>-2</v>
      </c>
    </row>
    <row r="5" spans="1:5" x14ac:dyDescent="0.25">
      <c r="A5" s="1">
        <v>1</v>
      </c>
      <c r="B5" s="1">
        <f>0.756-0.622</f>
        <v>0.13400000000000001</v>
      </c>
      <c r="C5" s="1">
        <f>96.7-96.6</f>
        <v>0.10000000000000853</v>
      </c>
      <c r="D5" s="1">
        <f>89.6-94.6</f>
        <v>-5</v>
      </c>
      <c r="E5" s="1">
        <v>2</v>
      </c>
    </row>
    <row r="6" spans="1:5" x14ac:dyDescent="0.25">
      <c r="A6" s="1">
        <v>6</v>
      </c>
      <c r="B6" s="1">
        <v>-0.183</v>
      </c>
      <c r="C6" s="1">
        <v>-4.4000000000000004</v>
      </c>
      <c r="D6" s="1">
        <v>-0.8</v>
      </c>
      <c r="E6" s="1">
        <v>-1</v>
      </c>
    </row>
    <row r="7" spans="1:5" x14ac:dyDescent="0.25">
      <c r="A7" s="1">
        <v>1</v>
      </c>
      <c r="B7" s="1">
        <f>0.744-0.744</f>
        <v>0</v>
      </c>
      <c r="C7" s="1">
        <f>105.5-100.6</f>
        <v>4.9000000000000057</v>
      </c>
      <c r="D7" s="1">
        <f>97.8-93.4</f>
        <v>4.3999999999999915</v>
      </c>
      <c r="E7" s="1">
        <v>-2</v>
      </c>
    </row>
    <row r="8" spans="1:5" x14ac:dyDescent="0.25">
      <c r="A8" s="1">
        <v>6</v>
      </c>
      <c r="B8" s="1">
        <v>-7.2999999999999995E-2</v>
      </c>
      <c r="C8" s="1">
        <v>-8.5</v>
      </c>
      <c r="D8" s="1">
        <v>-5.9</v>
      </c>
      <c r="E8" s="1">
        <v>-2</v>
      </c>
    </row>
    <row r="9" spans="1:5" x14ac:dyDescent="0.25">
      <c r="A9" s="1">
        <v>1</v>
      </c>
      <c r="B9" s="1">
        <f>0.74-0.54</f>
        <v>0.19999999999999996</v>
      </c>
      <c r="C9" s="1">
        <f>92.8-86.4</f>
        <v>6.3999999999999915</v>
      </c>
      <c r="D9" s="1">
        <f>84.7-85.4</f>
        <v>-0.70000000000000284</v>
      </c>
      <c r="E9" s="1">
        <v>0</v>
      </c>
    </row>
    <row r="10" spans="1:5" x14ac:dyDescent="0.25">
      <c r="A10" s="1">
        <v>5</v>
      </c>
      <c r="B10" s="1">
        <v>0.12</v>
      </c>
      <c r="C10" s="1">
        <v>8.3000000000000007</v>
      </c>
      <c r="D10" s="1">
        <v>5.5</v>
      </c>
      <c r="E10" s="1">
        <v>1</v>
      </c>
    </row>
    <row r="11" spans="1:5" x14ac:dyDescent="0.25">
      <c r="A11" s="1">
        <v>7</v>
      </c>
      <c r="B11" s="1">
        <v>-0.04</v>
      </c>
      <c r="C11" s="1">
        <v>2</v>
      </c>
      <c r="D11" s="1">
        <v>3.8</v>
      </c>
      <c r="E11" s="1">
        <v>-2</v>
      </c>
    </row>
    <row r="12" spans="1:5" x14ac:dyDescent="0.25">
      <c r="A12" s="1">
        <v>0</v>
      </c>
      <c r="B12" s="1">
        <f>0.66-0.56</f>
        <v>9.9999999999999978E-2</v>
      </c>
      <c r="C12" s="1">
        <f>94.7-89.7</f>
        <v>5</v>
      </c>
      <c r="D12" s="1">
        <f>90.9-87.6</f>
        <v>3.3000000000000114</v>
      </c>
      <c r="E12" s="1">
        <v>-1</v>
      </c>
    </row>
    <row r="13" spans="1:5" x14ac:dyDescent="0.25">
      <c r="A13" s="1">
        <v>7</v>
      </c>
      <c r="B13" s="1">
        <v>0.08</v>
      </c>
      <c r="C13" s="1">
        <v>-0.1</v>
      </c>
      <c r="D13" s="1">
        <v>-2</v>
      </c>
      <c r="E13" s="1">
        <v>1</v>
      </c>
    </row>
    <row r="14" spans="1:5" x14ac:dyDescent="0.25">
      <c r="A14" s="1">
        <v>2</v>
      </c>
      <c r="B14" s="1">
        <f>0.7-0.74</f>
        <v>-4.0000000000000036E-2</v>
      </c>
      <c r="C14" s="1">
        <f>94.8-93.3</f>
        <v>1.5</v>
      </c>
      <c r="D14" s="1">
        <f>88.5-86.8</f>
        <v>1.7000000000000028</v>
      </c>
      <c r="E14" s="1">
        <v>-1</v>
      </c>
    </row>
    <row r="15" spans="1:5" x14ac:dyDescent="0.25">
      <c r="A15" s="1">
        <v>0</v>
      </c>
      <c r="B15" s="1">
        <f>0.74-0.62</f>
        <v>0.12</v>
      </c>
      <c r="C15" s="1">
        <f>92.8-99</f>
        <v>-6.2000000000000028</v>
      </c>
      <c r="D15" s="1">
        <f>84.7-96</f>
        <v>-11.299999999999997</v>
      </c>
      <c r="E15" s="1">
        <v>3</v>
      </c>
    </row>
    <row r="16" spans="1:5" x14ac:dyDescent="0.25">
      <c r="A16" s="1">
        <v>5</v>
      </c>
      <c r="B16" s="1">
        <v>-0.13400000000000001</v>
      </c>
      <c r="C16" s="1">
        <v>0.5</v>
      </c>
      <c r="D16" s="1">
        <v>4.4000000000000004</v>
      </c>
      <c r="E16" s="1">
        <v>0</v>
      </c>
    </row>
    <row r="17" spans="1:5" x14ac:dyDescent="0.25">
      <c r="A17" s="1">
        <v>2</v>
      </c>
      <c r="B17" s="1">
        <f>0.683-0.61</f>
        <v>7.3000000000000065E-2</v>
      </c>
      <c r="C17" s="1">
        <f>101.3-92.1</f>
        <v>9.2000000000000028</v>
      </c>
      <c r="D17" s="1">
        <f>96.7-90.7</f>
        <v>6</v>
      </c>
      <c r="E17" s="1">
        <v>0</v>
      </c>
    </row>
    <row r="18" spans="1:5" x14ac:dyDescent="0.25">
      <c r="A18" s="1">
        <v>4</v>
      </c>
      <c r="B18" s="1">
        <v>-9.7000000000000003E-2</v>
      </c>
      <c r="C18" s="1">
        <v>-3.3</v>
      </c>
      <c r="D18" s="1">
        <v>-1.3</v>
      </c>
      <c r="E18" s="1">
        <v>0</v>
      </c>
    </row>
    <row r="19" spans="1:5" x14ac:dyDescent="0.25">
      <c r="A19" s="1">
        <v>5</v>
      </c>
      <c r="B19" s="1">
        <v>-8.5000000000000006E-2</v>
      </c>
      <c r="C19" s="1">
        <v>-6.5</v>
      </c>
      <c r="D19" s="1">
        <v>-3.3</v>
      </c>
      <c r="E19" s="1">
        <v>0</v>
      </c>
    </row>
    <row r="20" spans="1:5" x14ac:dyDescent="0.25">
      <c r="A20" s="1">
        <v>3</v>
      </c>
      <c r="B20" s="1">
        <f>0.61-0.634</f>
        <v>-2.4000000000000021E-2</v>
      </c>
      <c r="C20" s="1">
        <f>92.1-94.4</f>
        <v>-2.3000000000000114</v>
      </c>
      <c r="D20" s="1">
        <f>90.7-91.3</f>
        <v>-0.59999999999999432</v>
      </c>
      <c r="E20" s="1">
        <v>-2</v>
      </c>
    </row>
    <row r="21" spans="1:5" x14ac:dyDescent="0.25">
      <c r="A21" s="1">
        <v>6</v>
      </c>
      <c r="B21" s="1">
        <v>-0.17100000000000001</v>
      </c>
      <c r="C21" s="1">
        <v>-1.9</v>
      </c>
      <c r="D21" s="1">
        <v>1.4</v>
      </c>
      <c r="E21" s="1">
        <v>-4</v>
      </c>
    </row>
    <row r="22" spans="1:5" x14ac:dyDescent="0.25">
      <c r="A22" s="1">
        <v>1</v>
      </c>
      <c r="B22" s="1">
        <f>0.72-0.671</f>
        <v>4.8999999999999932E-2</v>
      </c>
      <c r="C22" s="1">
        <f>97.5-96.5</f>
        <v>1</v>
      </c>
      <c r="D22" s="1">
        <f>91-92</f>
        <v>-1</v>
      </c>
      <c r="E22" s="1">
        <v>2</v>
      </c>
    </row>
    <row r="23" spans="1:5" x14ac:dyDescent="0.25">
      <c r="A23" s="1">
        <v>6</v>
      </c>
      <c r="B23" s="1">
        <f>0.683-0.683</f>
        <v>0</v>
      </c>
      <c r="C23" s="1">
        <v>-5.9</v>
      </c>
      <c r="D23" s="1">
        <v>-6.8</v>
      </c>
      <c r="E23" s="1">
        <v>0</v>
      </c>
    </row>
    <row r="24" spans="1:5" x14ac:dyDescent="0.25">
      <c r="A24" s="1">
        <v>4</v>
      </c>
      <c r="B24" s="1">
        <v>-4.9000000000000002E-2</v>
      </c>
      <c r="C24" s="1">
        <v>6</v>
      </c>
      <c r="D24" s="1">
        <v>6.5</v>
      </c>
      <c r="E24" s="1">
        <v>0</v>
      </c>
    </row>
    <row r="25" spans="1:5" x14ac:dyDescent="0.25">
      <c r="A25" s="1">
        <v>7</v>
      </c>
      <c r="B25" s="1">
        <v>2.4E-2</v>
      </c>
      <c r="C25" s="1">
        <v>-4.4000000000000004</v>
      </c>
      <c r="D25" s="1">
        <v>-8.8000000000000007</v>
      </c>
      <c r="E25" s="1">
        <v>0</v>
      </c>
    </row>
    <row r="26" spans="1:5" x14ac:dyDescent="0.25">
      <c r="A26" s="1">
        <v>3</v>
      </c>
      <c r="B26" s="1">
        <f>0.634-0.561</f>
        <v>7.2999999999999954E-2</v>
      </c>
      <c r="C26" s="1">
        <f>100.7-91.9</f>
        <v>8.7999999999999972</v>
      </c>
      <c r="D26" s="1">
        <f>96.9-89.8</f>
        <v>7.1000000000000085</v>
      </c>
      <c r="E26" s="1">
        <v>-2</v>
      </c>
    </row>
    <row r="27" spans="1:5" x14ac:dyDescent="0.25">
      <c r="A27" s="1">
        <v>4</v>
      </c>
      <c r="B27" s="1">
        <v>-0.11</v>
      </c>
      <c r="C27" s="1">
        <v>2.9</v>
      </c>
      <c r="D27" s="1">
        <v>5</v>
      </c>
      <c r="E27" s="1">
        <v>2</v>
      </c>
    </row>
    <row r="28" spans="1:5" x14ac:dyDescent="0.25">
      <c r="A28" s="1">
        <v>0</v>
      </c>
      <c r="B28" s="1">
        <f>0.683-0.671</f>
        <v>1.2000000000000011E-2</v>
      </c>
      <c r="C28" s="1">
        <f>100.6-101.7</f>
        <v>-1.1000000000000085</v>
      </c>
      <c r="D28" s="1">
        <f>97.2-95.9</f>
        <v>1.2999999999999972</v>
      </c>
      <c r="E28" s="1">
        <v>2</v>
      </c>
    </row>
    <row r="29" spans="1:5" x14ac:dyDescent="0.25">
      <c r="A29" s="1">
        <v>1</v>
      </c>
      <c r="B29" s="1">
        <f>0.707-0.646</f>
        <v>6.0999999999999943E-2</v>
      </c>
      <c r="C29" s="1">
        <f>96.2-100.5</f>
        <v>-4.2999999999999972</v>
      </c>
      <c r="D29" s="1">
        <f>88.4-96.2</f>
        <v>-7.7999999999999972</v>
      </c>
      <c r="E29" s="1">
        <v>2</v>
      </c>
    </row>
    <row r="30" spans="1:5" x14ac:dyDescent="0.25">
      <c r="A30" s="1">
        <v>7</v>
      </c>
      <c r="B30" s="1">
        <v>-7.2999999999999995E-2</v>
      </c>
      <c r="C30" s="1">
        <v>-5.0999999999999996</v>
      </c>
      <c r="D30" s="1">
        <v>-2.1</v>
      </c>
      <c r="E30" s="1">
        <v>0</v>
      </c>
    </row>
    <row r="31" spans="1:5" x14ac:dyDescent="0.25">
      <c r="A31" s="1">
        <v>2</v>
      </c>
      <c r="B31" s="1">
        <f>0.634-0.598</f>
        <v>3.6000000000000032E-2</v>
      </c>
      <c r="C31" s="1">
        <f>96.2-96.4</f>
        <v>-0.20000000000000284</v>
      </c>
      <c r="D31" s="1">
        <f>92-94.1</f>
        <v>-2.0999999999999943</v>
      </c>
      <c r="E31" s="1">
        <v>-2</v>
      </c>
    </row>
    <row r="32" spans="1:5" x14ac:dyDescent="0.25">
      <c r="A32" s="1">
        <v>3</v>
      </c>
      <c r="B32" s="1">
        <f>0.707-0.744</f>
        <v>-3.7000000000000033E-2</v>
      </c>
      <c r="C32" s="1">
        <f>101.3-104.6</f>
        <v>-3.2999999999999972</v>
      </c>
      <c r="D32" s="1">
        <f>94.1-97</f>
        <v>-2.9000000000000057</v>
      </c>
      <c r="E32" s="1">
        <v>2</v>
      </c>
    </row>
    <row r="33" spans="1:5" x14ac:dyDescent="0.25">
      <c r="A33" s="1">
        <v>6</v>
      </c>
      <c r="B33" s="1">
        <v>1.2E-2</v>
      </c>
      <c r="C33" s="1">
        <v>-2.1</v>
      </c>
      <c r="D33" s="1">
        <v>-1.9</v>
      </c>
      <c r="E33" s="1">
        <v>0</v>
      </c>
    </row>
    <row r="34" spans="1:5" x14ac:dyDescent="0.25">
      <c r="A34" s="1">
        <v>1</v>
      </c>
      <c r="B34" s="1">
        <f>0.634-0.537</f>
        <v>9.6999999999999975E-2</v>
      </c>
      <c r="C34" s="1">
        <f>96.2-93.9</f>
        <v>2.2999999999999972</v>
      </c>
      <c r="D34" s="1">
        <f>92-92.9</f>
        <v>-0.90000000000000568</v>
      </c>
      <c r="E34" s="1">
        <v>2</v>
      </c>
    </row>
    <row r="35" spans="1:5" x14ac:dyDescent="0.25">
      <c r="A35" s="1">
        <v>6</v>
      </c>
      <c r="B35" s="1">
        <f>0.707-0.707</f>
        <v>0</v>
      </c>
      <c r="C35" s="1">
        <v>-4.5999999999999996</v>
      </c>
      <c r="D35" s="1">
        <v>-3.6</v>
      </c>
      <c r="E35" s="1">
        <v>-2</v>
      </c>
    </row>
    <row r="36" spans="1:5" x14ac:dyDescent="0.25">
      <c r="A36" s="1">
        <v>1</v>
      </c>
      <c r="B36" s="1">
        <f>0.744-0.695</f>
        <v>4.9000000000000044E-2</v>
      </c>
      <c r="C36" s="1">
        <f>104.6-105.2</f>
        <v>-0.60000000000000853</v>
      </c>
      <c r="D36" s="1">
        <f>97-101</f>
        <v>-4</v>
      </c>
      <c r="E36" s="1">
        <v>-2</v>
      </c>
    </row>
    <row r="37" spans="1:5" x14ac:dyDescent="0.25">
      <c r="A37" s="1">
        <v>5</v>
      </c>
      <c r="B37" s="1">
        <v>-0.13400000000000001</v>
      </c>
      <c r="C37" s="1">
        <v>-0.4</v>
      </c>
      <c r="D37" s="1">
        <v>-0.3</v>
      </c>
      <c r="E37" s="1">
        <v>0</v>
      </c>
    </row>
    <row r="38" spans="1:5" x14ac:dyDescent="0.25">
      <c r="A38" s="1">
        <v>0</v>
      </c>
      <c r="B38" s="1">
        <f>0.598-0.61</f>
        <v>-1.2000000000000011E-2</v>
      </c>
      <c r="C38" s="1">
        <f>95.4-91.4</f>
        <v>4</v>
      </c>
      <c r="D38" s="1">
        <f>90.1-87.7</f>
        <v>2.3999999999999915</v>
      </c>
      <c r="E38" s="1">
        <v>-1</v>
      </c>
    </row>
    <row r="39" spans="1:5" x14ac:dyDescent="0.25">
      <c r="A39" s="1">
        <v>2</v>
      </c>
      <c r="B39" s="1">
        <f>0.732-0.732</f>
        <v>0</v>
      </c>
      <c r="C39" s="1">
        <f>95.8-103</f>
        <v>-7.2000000000000028</v>
      </c>
      <c r="D39" s="1">
        <f>90.4-95.2</f>
        <v>-4.7999999999999972</v>
      </c>
      <c r="E39" s="1">
        <v>0</v>
      </c>
    </row>
    <row r="40" spans="1:5" x14ac:dyDescent="0.25">
      <c r="A40" s="1">
        <v>5</v>
      </c>
      <c r="B40" s="1">
        <v>-2.5000000000000001E-2</v>
      </c>
      <c r="C40" s="1">
        <v>5.4</v>
      </c>
      <c r="D40" s="1">
        <v>6.8</v>
      </c>
      <c r="E40" s="1">
        <v>0</v>
      </c>
    </row>
    <row r="41" spans="1:5" x14ac:dyDescent="0.25">
      <c r="A41" s="1">
        <v>7</v>
      </c>
      <c r="B41" s="1">
        <v>-6.0999999999999999E-2</v>
      </c>
      <c r="C41" s="1">
        <v>-2.7</v>
      </c>
      <c r="D41" s="1">
        <v>3</v>
      </c>
      <c r="E41" s="1">
        <v>-2</v>
      </c>
    </row>
    <row r="42" spans="1:5" x14ac:dyDescent="0.25">
      <c r="A42" s="1">
        <v>4</v>
      </c>
      <c r="B42" s="1">
        <v>-1.2E-2</v>
      </c>
      <c r="C42" s="1">
        <v>-1.3</v>
      </c>
      <c r="D42" s="1">
        <f>95.2-95.2</f>
        <v>0</v>
      </c>
      <c r="E42" s="1">
        <v>2</v>
      </c>
    </row>
    <row r="43" spans="1:5" x14ac:dyDescent="0.25">
      <c r="A43" s="1">
        <v>2</v>
      </c>
      <c r="B43" s="1">
        <f>0.732-0.61</f>
        <v>0.122</v>
      </c>
      <c r="C43" s="1">
        <f>95.8-100.4</f>
        <v>-4.6000000000000085</v>
      </c>
      <c r="D43" s="1">
        <f>90.4-98</f>
        <v>-7.5999999999999943</v>
      </c>
      <c r="E43" s="1">
        <v>4</v>
      </c>
    </row>
    <row r="44" spans="1:5" x14ac:dyDescent="0.25">
      <c r="A44" s="1">
        <v>5</v>
      </c>
      <c r="B44" s="1">
        <v>4.8000000000000001E-2</v>
      </c>
      <c r="C44" s="1">
        <v>4.0999999999999996</v>
      </c>
      <c r="D44" s="1">
        <v>0.2</v>
      </c>
      <c r="E44" s="1">
        <v>0</v>
      </c>
    </row>
    <row r="45" spans="1:5" x14ac:dyDescent="0.25">
      <c r="A45" s="1">
        <v>3</v>
      </c>
      <c r="B45" s="1">
        <f>0.61-0.512</f>
        <v>9.7999999999999976E-2</v>
      </c>
      <c r="C45" s="1">
        <f>91.4-98.5</f>
        <v>-7.0999999999999943</v>
      </c>
      <c r="D45" s="1">
        <f>87.7-98.4</f>
        <v>-10.700000000000003</v>
      </c>
      <c r="E45" s="1">
        <v>1</v>
      </c>
    </row>
    <row r="46" spans="1:5" x14ac:dyDescent="0.25">
      <c r="A46" s="1">
        <v>2</v>
      </c>
      <c r="B46" s="1">
        <f>0.598-0.512</f>
        <v>8.5999999999999965E-2</v>
      </c>
      <c r="C46" s="1">
        <f>95.4-99.5</f>
        <v>-4.0999999999999943</v>
      </c>
      <c r="D46" s="1">
        <f>90.1-99.3</f>
        <v>-9.2000000000000028</v>
      </c>
      <c r="E46" s="1">
        <v>0</v>
      </c>
    </row>
    <row r="47" spans="1:5" x14ac:dyDescent="0.25">
      <c r="A47" s="1">
        <v>5</v>
      </c>
      <c r="B47" s="1">
        <v>-1.2E-2</v>
      </c>
      <c r="C47" s="1">
        <v>-2.9</v>
      </c>
      <c r="D47" s="1">
        <v>-2.7</v>
      </c>
      <c r="E47" s="1">
        <v>1</v>
      </c>
    </row>
    <row r="48" spans="1:5" x14ac:dyDescent="0.25">
      <c r="A48" s="1">
        <v>4</v>
      </c>
      <c r="B48" s="1">
        <v>-0.122</v>
      </c>
      <c r="C48" s="1">
        <v>-7.8</v>
      </c>
      <c r="D48" s="1">
        <v>-2.7</v>
      </c>
      <c r="E48" s="1">
        <v>0</v>
      </c>
    </row>
    <row r="49" spans="1:5" x14ac:dyDescent="0.25">
      <c r="A49" s="1">
        <v>2</v>
      </c>
      <c r="B49" s="1">
        <f>0.61-0.622</f>
        <v>-1.2000000000000011E-2</v>
      </c>
      <c r="C49" s="1">
        <f>100.4-98.1</f>
        <v>2.3000000000000114</v>
      </c>
      <c r="D49" s="1">
        <f>98-96</f>
        <v>2</v>
      </c>
      <c r="E49" s="1">
        <v>0</v>
      </c>
    </row>
    <row r="50" spans="1:5" x14ac:dyDescent="0.25">
      <c r="A50" s="1">
        <v>6</v>
      </c>
      <c r="B50" s="1">
        <v>-0.14699999999999999</v>
      </c>
      <c r="C50" s="1">
        <v>-7</v>
      </c>
      <c r="D50" s="1">
        <v>-2.9</v>
      </c>
      <c r="E50" s="1">
        <v>-2</v>
      </c>
    </row>
    <row r="51" spans="1:5" x14ac:dyDescent="0.25">
      <c r="A51" s="1">
        <v>5</v>
      </c>
      <c r="B51" s="1">
        <v>-0.19500000000000001</v>
      </c>
      <c r="C51" s="1">
        <v>-0.3</v>
      </c>
      <c r="D51" s="1">
        <v>4</v>
      </c>
      <c r="E51" s="1">
        <v>2</v>
      </c>
    </row>
    <row r="52" spans="1:5" x14ac:dyDescent="0.25">
      <c r="A52" s="1">
        <v>1</v>
      </c>
      <c r="B52" s="1">
        <f>0.659-0.683</f>
        <v>-2.4000000000000021E-2</v>
      </c>
      <c r="C52" s="1">
        <f>90.1-98.2</f>
        <v>-8.1000000000000085</v>
      </c>
      <c r="D52" s="1">
        <f>84.3-94.3</f>
        <v>-10</v>
      </c>
      <c r="E52" s="1">
        <v>0</v>
      </c>
    </row>
    <row r="53" spans="1:5" x14ac:dyDescent="0.25">
      <c r="A53" s="1">
        <v>2</v>
      </c>
      <c r="B53" s="1">
        <f>0.659-0.744</f>
        <v>-8.4999999999999964E-2</v>
      </c>
      <c r="C53" s="1">
        <f>90.1-91.4</f>
        <v>-1.3000000000000114</v>
      </c>
      <c r="D53" s="1">
        <f>84.3-85.6</f>
        <v>-1.2999999999999972</v>
      </c>
      <c r="E53" s="1">
        <v>-2</v>
      </c>
    </row>
    <row r="54" spans="1:5" x14ac:dyDescent="0.25">
      <c r="A54" s="1">
        <v>5</v>
      </c>
      <c r="B54" s="1">
        <v>2.4E-2</v>
      </c>
      <c r="C54" s="1">
        <v>-3.7</v>
      </c>
      <c r="D54" s="1">
        <v>-5.2</v>
      </c>
      <c r="E54" s="1">
        <v>2</v>
      </c>
    </row>
    <row r="55" spans="1:5" x14ac:dyDescent="0.25">
      <c r="A55" s="1">
        <v>3</v>
      </c>
      <c r="B55" s="1">
        <f>0.659-0.573</f>
        <v>8.6000000000000076E-2</v>
      </c>
      <c r="C55" s="1">
        <f>90.1-90.3</f>
        <v>-0.20000000000000284</v>
      </c>
      <c r="D55" s="1">
        <f>84.3-87.8</f>
        <v>-3.5</v>
      </c>
      <c r="E55" s="1">
        <v>0</v>
      </c>
    </row>
    <row r="56" spans="1:5" x14ac:dyDescent="0.25">
      <c r="A56" s="1">
        <v>2</v>
      </c>
      <c r="B56" s="1">
        <f>0.744-0.512</f>
        <v>0.23199999999999998</v>
      </c>
      <c r="C56" s="1">
        <f>91.4-90.3</f>
        <v>1.1000000000000085</v>
      </c>
      <c r="D56" s="1">
        <f>85.6-89.7</f>
        <v>-4.1000000000000085</v>
      </c>
      <c r="E56" s="1">
        <v>3</v>
      </c>
    </row>
    <row r="57" spans="1:5" x14ac:dyDescent="0.25">
      <c r="A57" s="1">
        <v>5</v>
      </c>
      <c r="B57" s="1">
        <v>1.2E-2</v>
      </c>
      <c r="C57" s="1">
        <v>-6.7</v>
      </c>
      <c r="D57" s="1">
        <v>-10</v>
      </c>
      <c r="E57" s="1">
        <v>-2</v>
      </c>
    </row>
    <row r="58" spans="1:5" x14ac:dyDescent="0.25">
      <c r="A58" s="1">
        <v>4</v>
      </c>
      <c r="B58" s="1">
        <v>-3.5999999999999997E-2</v>
      </c>
      <c r="C58" s="1">
        <v>8.3000000000000007</v>
      </c>
      <c r="D58" s="1">
        <v>8.6999999999999993</v>
      </c>
      <c r="E58" s="1">
        <v>-2</v>
      </c>
    </row>
    <row r="59" spans="1:5" x14ac:dyDescent="0.25">
      <c r="A59" s="1">
        <v>6</v>
      </c>
      <c r="B59" s="1">
        <v>-0.159</v>
      </c>
      <c r="C59" s="1">
        <v>7.9</v>
      </c>
      <c r="D59" s="1">
        <v>12.7</v>
      </c>
      <c r="E59" s="1">
        <v>-2</v>
      </c>
    </row>
    <row r="60" spans="1:5" x14ac:dyDescent="0.25">
      <c r="A60" s="1">
        <v>0</v>
      </c>
      <c r="B60" s="1">
        <f>0.744-0.439</f>
        <v>0.30499999999999999</v>
      </c>
      <c r="C60" s="1">
        <f>91.4-95.3</f>
        <v>-3.8999999999999915</v>
      </c>
      <c r="D60" s="1">
        <f>85.6-96.7</f>
        <v>-11.100000000000009</v>
      </c>
      <c r="E60" s="1">
        <v>2</v>
      </c>
    </row>
    <row r="61" spans="1:5" x14ac:dyDescent="0.25">
      <c r="A61" s="1">
        <v>3</v>
      </c>
      <c r="B61" s="1">
        <f>0.512-0.5</f>
        <v>1.2000000000000011E-2</v>
      </c>
      <c r="C61" s="1">
        <f>90.3-91.8</f>
        <v>-1.5</v>
      </c>
      <c r="D61" s="1">
        <f>89.7-91.9</f>
        <v>-2.2000000000000028</v>
      </c>
      <c r="E61" s="1">
        <v>2</v>
      </c>
    </row>
    <row r="62" spans="1:5" x14ac:dyDescent="0.25">
      <c r="A62" s="1">
        <v>7</v>
      </c>
      <c r="B62" s="1">
        <v>-9.7000000000000003E-2</v>
      </c>
      <c r="C62" s="1">
        <v>1.7</v>
      </c>
      <c r="D62" s="1">
        <v>5.7</v>
      </c>
      <c r="E62" s="1">
        <v>-2</v>
      </c>
    </row>
    <row r="63" spans="1:5" x14ac:dyDescent="0.25">
      <c r="A63" s="1">
        <v>1</v>
      </c>
      <c r="B63" s="1">
        <f>0.683-0.549</f>
        <v>0.13400000000000001</v>
      </c>
      <c r="C63" s="1">
        <f>98.2-89.8</f>
        <v>8.4000000000000057</v>
      </c>
      <c r="D63" s="1">
        <f>94.3-88</f>
        <v>6.2999999999999972</v>
      </c>
      <c r="E63" s="1">
        <v>0</v>
      </c>
    </row>
    <row r="64" spans="1:5" x14ac:dyDescent="0.25">
      <c r="A64" s="1">
        <v>6</v>
      </c>
      <c r="B64" s="1">
        <v>-0.183</v>
      </c>
      <c r="C64" s="1">
        <v>2.7</v>
      </c>
      <c r="D64" s="1">
        <v>7</v>
      </c>
      <c r="E64" s="1">
        <v>-2</v>
      </c>
    </row>
    <row r="65" spans="1:5" x14ac:dyDescent="0.25">
      <c r="A65" s="1">
        <v>1</v>
      </c>
      <c r="B65" s="1">
        <f>0.671-0.634</f>
        <v>3.7000000000000033E-2</v>
      </c>
      <c r="C65" s="1">
        <f>102.8-105.2</f>
        <v>-2.4000000000000057</v>
      </c>
      <c r="D65" s="1">
        <f>97.8-100.8</f>
        <v>-3</v>
      </c>
      <c r="E65" s="1">
        <v>-2</v>
      </c>
    </row>
    <row r="66" spans="1:5" x14ac:dyDescent="0.25">
      <c r="A66" s="1">
        <v>0</v>
      </c>
      <c r="B66" s="1">
        <f>0.695-0.61</f>
        <v>8.4999999999999964E-2</v>
      </c>
      <c r="C66" s="1">
        <f>91.5-96.7</f>
        <v>-5.2000000000000028</v>
      </c>
      <c r="D66" s="1">
        <f>84.3-94.3</f>
        <v>-10</v>
      </c>
      <c r="E66" s="1">
        <v>-2</v>
      </c>
    </row>
    <row r="67" spans="1:5" x14ac:dyDescent="0.25">
      <c r="A67" s="1">
        <v>4</v>
      </c>
      <c r="B67" s="1">
        <v>-6.0999999999999999E-2</v>
      </c>
      <c r="C67" s="1">
        <v>-2.9</v>
      </c>
      <c r="D67" s="1">
        <v>1.1000000000000001</v>
      </c>
      <c r="E67" s="1">
        <v>0</v>
      </c>
    </row>
    <row r="68" spans="1:5" x14ac:dyDescent="0.25">
      <c r="A68" s="1">
        <v>3</v>
      </c>
      <c r="B68" s="1">
        <f>0.659-0.72</f>
        <v>-6.0999999999999943E-2</v>
      </c>
      <c r="C68" s="1">
        <f>93.3-101.5</f>
        <v>-8.2000000000000028</v>
      </c>
      <c r="D68" s="1">
        <f>89.5-95</f>
        <v>-5.5</v>
      </c>
      <c r="E68" s="1">
        <v>1</v>
      </c>
    </row>
    <row r="69" spans="1:5" x14ac:dyDescent="0.25">
      <c r="A69" s="1">
        <v>6</v>
      </c>
      <c r="B69" s="1">
        <v>3.5999999999999997E-2</v>
      </c>
      <c r="C69" s="1">
        <v>14.2</v>
      </c>
      <c r="D69" s="1">
        <v>14.9</v>
      </c>
      <c r="E69" s="1">
        <v>-1</v>
      </c>
    </row>
    <row r="70" spans="1:5" x14ac:dyDescent="0.25">
      <c r="A70" s="1">
        <v>2</v>
      </c>
      <c r="B70" s="1">
        <f>0.659-0.537</f>
        <v>0.122</v>
      </c>
      <c r="C70" s="1">
        <f>93.3-93</f>
        <v>0.29999999999999716</v>
      </c>
      <c r="D70" s="1">
        <f>89.5-92.2</f>
        <v>-2.7000000000000028</v>
      </c>
      <c r="E70" s="1">
        <v>0</v>
      </c>
    </row>
    <row r="71" spans="1:5" x14ac:dyDescent="0.25">
      <c r="A71" s="1">
        <v>7</v>
      </c>
      <c r="B71" s="1">
        <v>-0.17100000000000001</v>
      </c>
      <c r="C71" s="1">
        <v>-1</v>
      </c>
      <c r="D71" s="1">
        <v>5.8</v>
      </c>
      <c r="E71" s="1">
        <v>-4</v>
      </c>
    </row>
    <row r="72" spans="1:5" x14ac:dyDescent="0.25">
      <c r="A72" s="1">
        <v>5</v>
      </c>
      <c r="B72" s="1">
        <v>-4.9000000000000002E-2</v>
      </c>
      <c r="C72" s="1">
        <v>-7.9</v>
      </c>
      <c r="D72" s="1">
        <v>-6.5</v>
      </c>
      <c r="E72" s="1">
        <v>-2</v>
      </c>
    </row>
    <row r="73" spans="1:5" x14ac:dyDescent="0.25">
      <c r="A73" s="1">
        <v>2</v>
      </c>
      <c r="B73" s="1">
        <f>0.72-0.634</f>
        <v>8.5999999999999965E-2</v>
      </c>
      <c r="C73" s="1">
        <f>96.2-98.9</f>
        <v>-2.7000000000000028</v>
      </c>
      <c r="D73" s="1">
        <f>88.4-96.6</f>
        <v>-8.1999999999999886</v>
      </c>
      <c r="E73" s="1">
        <v>0</v>
      </c>
    </row>
    <row r="74" spans="1:5" x14ac:dyDescent="0.25">
      <c r="A74" s="1">
        <v>1</v>
      </c>
      <c r="B74" s="1">
        <f>0.659-0.524</f>
        <v>0.13500000000000001</v>
      </c>
      <c r="C74" s="1">
        <f>93.3-99.1</f>
        <v>-5.7999999999999972</v>
      </c>
      <c r="D74" s="1">
        <f>89.5-99.9</f>
        <v>-10.400000000000006</v>
      </c>
      <c r="E74" s="1">
        <v>2</v>
      </c>
    </row>
    <row r="75" spans="1:5" x14ac:dyDescent="0.25">
      <c r="A75" s="1">
        <v>4</v>
      </c>
      <c r="B75" s="1">
        <v>1.2E-2</v>
      </c>
      <c r="C75" s="1">
        <v>8.3000000000000007</v>
      </c>
      <c r="D75" s="1">
        <v>8.1999999999999993</v>
      </c>
      <c r="E75" s="1">
        <v>-1</v>
      </c>
    </row>
    <row r="76" spans="1:5" x14ac:dyDescent="0.25">
      <c r="A76" s="1">
        <v>0</v>
      </c>
      <c r="B76" s="1">
        <f>0.72-0.512</f>
        <v>0.20799999999999996</v>
      </c>
      <c r="C76" s="1">
        <f>101.5-91.4</f>
        <v>10.099999999999994</v>
      </c>
      <c r="D76" s="1">
        <f>95-92.9</f>
        <v>2.0999999999999943</v>
      </c>
      <c r="E76" s="1">
        <v>3</v>
      </c>
    </row>
    <row r="77" spans="1:5" x14ac:dyDescent="0.25">
      <c r="A77" s="1">
        <v>5</v>
      </c>
      <c r="B77" s="1">
        <v>2.4E-2</v>
      </c>
      <c r="C77" s="1">
        <v>-6</v>
      </c>
      <c r="D77" s="1">
        <v>-7.4</v>
      </c>
      <c r="E77" s="1">
        <v>-1</v>
      </c>
    </row>
    <row r="78" spans="1:5" x14ac:dyDescent="0.25">
      <c r="A78" s="1">
        <v>3</v>
      </c>
      <c r="B78" s="1">
        <f>0.707-0.622</f>
        <v>8.4999999999999964E-2</v>
      </c>
      <c r="C78" s="1">
        <f>102.5-95.1</f>
        <v>7.4000000000000057</v>
      </c>
      <c r="D78" s="1">
        <f>96.8-91</f>
        <v>5.7999999999999972</v>
      </c>
      <c r="E78" s="1">
        <v>0</v>
      </c>
    </row>
    <row r="79" spans="1:5" x14ac:dyDescent="0.25">
      <c r="A79" s="1">
        <v>7</v>
      </c>
      <c r="B79" s="1">
        <v>-0.20699999999999999</v>
      </c>
      <c r="C79" s="1">
        <v>-17</v>
      </c>
      <c r="D79" s="1">
        <v>-12.2</v>
      </c>
      <c r="E79" s="1">
        <v>0</v>
      </c>
    </row>
    <row r="80" spans="1:5" x14ac:dyDescent="0.25">
      <c r="A80" s="1">
        <v>6</v>
      </c>
      <c r="B80" s="1">
        <v>-0.122</v>
      </c>
      <c r="C80" s="1">
        <v>3.3</v>
      </c>
      <c r="D80" s="1">
        <v>9.1</v>
      </c>
      <c r="E80" s="1">
        <v>0</v>
      </c>
    </row>
    <row r="81" spans="1:5" x14ac:dyDescent="0.25">
      <c r="A81" s="1">
        <v>1</v>
      </c>
      <c r="B81" s="1">
        <f>0.634-0.61</f>
        <v>2.4000000000000021E-2</v>
      </c>
      <c r="C81" s="1">
        <f>98.9-103.7</f>
        <v>-4.7999999999999972</v>
      </c>
      <c r="D81" s="1">
        <f>96.6-101.6</f>
        <v>-5</v>
      </c>
      <c r="E81" s="1">
        <v>2</v>
      </c>
    </row>
    <row r="82" spans="1:5" x14ac:dyDescent="0.25">
      <c r="A82" s="1">
        <v>2</v>
      </c>
      <c r="B82" s="1">
        <f>0.634-0.732</f>
        <v>-9.7999999999999976E-2</v>
      </c>
      <c r="C82" s="1">
        <f>99.9-99.1</f>
        <v>0.80000000000001137</v>
      </c>
      <c r="D82" s="1">
        <f>96-93.1</f>
        <v>2.9000000000000057</v>
      </c>
      <c r="E82" s="1">
        <v>-2</v>
      </c>
    </row>
    <row r="83" spans="1:5" x14ac:dyDescent="0.25">
      <c r="A83" s="1">
        <v>5</v>
      </c>
      <c r="B83" s="1">
        <v>0.14599999999999999</v>
      </c>
      <c r="C83" s="1">
        <v>-3.1</v>
      </c>
      <c r="D83" s="1">
        <v>-5.8</v>
      </c>
      <c r="E83" s="1">
        <v>2</v>
      </c>
    </row>
    <row r="84" spans="1:5" x14ac:dyDescent="0.25">
      <c r="A84" s="1">
        <v>2</v>
      </c>
      <c r="B84" s="1">
        <f>0.732-0.659</f>
        <v>7.2999999999999954E-2</v>
      </c>
      <c r="C84" s="1">
        <f>99.1-108.4</f>
        <v>-9.3000000000000114</v>
      </c>
      <c r="D84" s="1">
        <f>93.1-102.8</f>
        <v>-9.7000000000000028</v>
      </c>
      <c r="E84" s="1">
        <v>0</v>
      </c>
    </row>
    <row r="85" spans="1:5" x14ac:dyDescent="0.25">
      <c r="A85" s="1">
        <v>4</v>
      </c>
      <c r="B85" s="1">
        <v>-0.17</v>
      </c>
      <c r="C85" s="1">
        <v>0.8</v>
      </c>
      <c r="D85" s="1">
        <v>5.2</v>
      </c>
      <c r="E85" s="1">
        <v>-2</v>
      </c>
    </row>
    <row r="86" spans="1:5" x14ac:dyDescent="0.25">
      <c r="A86" s="1">
        <v>6</v>
      </c>
      <c r="B86" s="1">
        <v>-3.5999999999999997E-2</v>
      </c>
      <c r="C86" s="1">
        <v>-6.1</v>
      </c>
      <c r="D86" s="1">
        <v>-3.6</v>
      </c>
      <c r="E86" s="1">
        <v>2</v>
      </c>
    </row>
    <row r="87" spans="1:5" x14ac:dyDescent="0.25">
      <c r="A87" s="1">
        <v>3</v>
      </c>
      <c r="B87" s="1">
        <f>0.732-0.768</f>
        <v>-3.6000000000000032E-2</v>
      </c>
      <c r="C87" s="1">
        <f>99.1-95.6</f>
        <v>3.5</v>
      </c>
      <c r="D87" s="1">
        <f>93.1-88.8</f>
        <v>4.2999999999999972</v>
      </c>
      <c r="E87" s="1">
        <v>0</v>
      </c>
    </row>
    <row r="88" spans="1:5" x14ac:dyDescent="0.25">
      <c r="A88" s="1">
        <v>4</v>
      </c>
      <c r="B88" s="1">
        <v>-8.5999999999999993E-2</v>
      </c>
      <c r="C88" s="1">
        <v>-11.2</v>
      </c>
      <c r="D88" s="1">
        <v>-7.2</v>
      </c>
      <c r="E88" s="1">
        <v>0</v>
      </c>
    </row>
    <row r="89" spans="1:5" x14ac:dyDescent="0.25">
      <c r="A89" s="1">
        <v>5</v>
      </c>
      <c r="B89" s="1">
        <v>-9.8000000000000004E-2</v>
      </c>
      <c r="C89" s="1">
        <v>4.0999999999999996</v>
      </c>
      <c r="D89" s="1">
        <v>4.4000000000000004</v>
      </c>
      <c r="E89" s="1">
        <v>2</v>
      </c>
    </row>
    <row r="90" spans="1:5" x14ac:dyDescent="0.25">
      <c r="A90" s="1">
        <v>1</v>
      </c>
      <c r="B90" s="1">
        <f>0.78-0.488</f>
        <v>0.29200000000000004</v>
      </c>
      <c r="C90" s="1">
        <f>96.8-97.8</f>
        <v>-1</v>
      </c>
      <c r="D90" s="1">
        <f>90.2-98.8</f>
        <v>-8.5999999999999943</v>
      </c>
      <c r="E90" s="1">
        <v>2</v>
      </c>
    </row>
    <row r="91" spans="1:5" x14ac:dyDescent="0.25">
      <c r="A91" s="1">
        <v>2</v>
      </c>
      <c r="B91" s="1">
        <f>0.634-0.5</f>
        <v>0.13400000000000001</v>
      </c>
      <c r="C91" s="1">
        <f>99.9-97.8</f>
        <v>2.1000000000000085</v>
      </c>
      <c r="D91" s="1">
        <f>96-97.2</f>
        <v>-1.2000000000000028</v>
      </c>
      <c r="E91" s="1">
        <v>1</v>
      </c>
    </row>
    <row r="92" spans="1:5" x14ac:dyDescent="0.25">
      <c r="A92" s="1">
        <v>5</v>
      </c>
      <c r="B92" s="1">
        <v>-9.8000000000000004E-2</v>
      </c>
      <c r="C92" s="1">
        <v>0.1</v>
      </c>
      <c r="D92" s="1">
        <v>-0.4</v>
      </c>
      <c r="E92" s="1">
        <v>1</v>
      </c>
    </row>
    <row r="93" spans="1:5" x14ac:dyDescent="0.25">
      <c r="A93" s="1">
        <v>0</v>
      </c>
      <c r="B93" s="1">
        <f>0.732-0.598</f>
        <v>0.13400000000000001</v>
      </c>
      <c r="C93" s="1">
        <f>99.1-92.2</f>
        <v>6.8999999999999915</v>
      </c>
      <c r="D93" s="1">
        <f>93.1-88.5</f>
        <v>4.5999999999999943</v>
      </c>
      <c r="E93" s="1">
        <v>2</v>
      </c>
    </row>
    <row r="94" spans="1:5" x14ac:dyDescent="0.25">
      <c r="A94" s="1">
        <v>6</v>
      </c>
      <c r="B94" s="1">
        <v>-3.5999999999999997E-2</v>
      </c>
      <c r="C94" s="1">
        <v>3.1</v>
      </c>
      <c r="D94" s="1">
        <v>4.5</v>
      </c>
      <c r="E94" s="1">
        <v>-2</v>
      </c>
    </row>
    <row r="95" spans="1:5" x14ac:dyDescent="0.25">
      <c r="A95" s="1">
        <v>3</v>
      </c>
      <c r="B95" s="1">
        <f>0.659-0.549</f>
        <v>0.10999999999999999</v>
      </c>
      <c r="C95" s="1">
        <f>108.4-99.4</f>
        <v>9</v>
      </c>
      <c r="D95" s="1">
        <f>102.8-96.9</f>
        <v>5.8999999999999915</v>
      </c>
      <c r="E95" s="1">
        <v>2</v>
      </c>
    </row>
    <row r="96" spans="1:5" x14ac:dyDescent="0.25">
      <c r="A96" s="1">
        <v>2</v>
      </c>
      <c r="B96" s="1">
        <f>0.768-0.537</f>
        <v>0.23099999999999998</v>
      </c>
      <c r="C96" s="1">
        <f>95.6-98.9</f>
        <v>-3.3000000000000114</v>
      </c>
      <c r="D96" s="1">
        <f>88.8-97.3</f>
        <v>-8.5</v>
      </c>
      <c r="E96" s="1">
        <v>1</v>
      </c>
    </row>
    <row r="97" spans="1:5" x14ac:dyDescent="0.25">
      <c r="A97" s="1">
        <v>7</v>
      </c>
      <c r="B97" s="1">
        <v>-9.7000000000000003E-2</v>
      </c>
      <c r="C97" s="1">
        <v>-1.7</v>
      </c>
      <c r="D97" s="1">
        <v>2.8</v>
      </c>
      <c r="E97" s="1">
        <v>2</v>
      </c>
    </row>
    <row r="98" spans="1:5" x14ac:dyDescent="0.25">
      <c r="A98" s="1">
        <v>5</v>
      </c>
      <c r="B98" s="1">
        <v>3.5999999999999997E-2</v>
      </c>
      <c r="C98" s="1">
        <v>-0.8</v>
      </c>
      <c r="D98" s="1">
        <v>-1.1000000000000001</v>
      </c>
      <c r="E98" s="1">
        <v>2</v>
      </c>
    </row>
    <row r="99" spans="1:5" x14ac:dyDescent="0.25">
      <c r="A99" s="1">
        <v>1</v>
      </c>
      <c r="B99" s="1">
        <f>0.707-0.622</f>
        <v>8.4999999999999964E-2</v>
      </c>
      <c r="C99" s="1">
        <f>98.5-101.5</f>
        <v>-3</v>
      </c>
      <c r="D99" s="1">
        <f>90.1-98.6</f>
        <v>-8.5</v>
      </c>
      <c r="E99" s="1">
        <v>0</v>
      </c>
    </row>
    <row r="100" spans="1:5" x14ac:dyDescent="0.25">
      <c r="A100" s="1">
        <v>2</v>
      </c>
      <c r="B100" s="1">
        <f>0.61-0.5</f>
        <v>0.10999999999999999</v>
      </c>
      <c r="C100" s="1">
        <f>96.8-97.6</f>
        <v>-0.79999999999999716</v>
      </c>
      <c r="D100" s="1">
        <f>92.9-98.3</f>
        <v>-5.3999999999999915</v>
      </c>
      <c r="E100" s="1">
        <v>1</v>
      </c>
    </row>
    <row r="101" spans="1:5" x14ac:dyDescent="0.25">
      <c r="A101" s="1">
        <v>5</v>
      </c>
      <c r="B101" s="1">
        <v>-4.8000000000000001E-2</v>
      </c>
      <c r="C101" s="1">
        <v>2.8</v>
      </c>
      <c r="D101" s="1">
        <v>2</v>
      </c>
      <c r="E101" s="1">
        <v>2</v>
      </c>
    </row>
    <row r="102" spans="1:5" x14ac:dyDescent="0.25">
      <c r="A102" s="1">
        <v>2</v>
      </c>
      <c r="B102" s="1">
        <f>0.707-0.744</f>
        <v>-3.7000000000000033E-2</v>
      </c>
      <c r="C102" s="1">
        <f>98.5-110.2</f>
        <v>-11.700000000000003</v>
      </c>
      <c r="D102" s="1">
        <f>90.1-102.9</f>
        <v>-12.800000000000011</v>
      </c>
      <c r="E102" s="1">
        <v>1</v>
      </c>
    </row>
    <row r="103" spans="1:5" x14ac:dyDescent="0.25">
      <c r="A103" s="1">
        <v>6</v>
      </c>
      <c r="B103" s="1">
        <v>-0.11</v>
      </c>
      <c r="C103" s="1">
        <v>5</v>
      </c>
      <c r="D103" s="1">
        <v>8.3000000000000007</v>
      </c>
      <c r="E103" s="1">
        <v>0</v>
      </c>
    </row>
    <row r="104" spans="1:5" x14ac:dyDescent="0.25">
      <c r="A104" s="1">
        <v>0</v>
      </c>
      <c r="B104" s="1">
        <f>0.598-0.537</f>
        <v>6.0999999999999943E-2</v>
      </c>
      <c r="C104" s="1">
        <f>98.8-94.6</f>
        <v>4.2000000000000028</v>
      </c>
      <c r="D104" s="1">
        <f>93.8-95.5</f>
        <v>-1.7000000000000028</v>
      </c>
      <c r="E104" s="1">
        <v>2</v>
      </c>
    </row>
    <row r="105" spans="1:5" x14ac:dyDescent="0.25">
      <c r="A105" s="1">
        <v>7</v>
      </c>
      <c r="B105" s="1">
        <v>-0.11</v>
      </c>
      <c r="C105" s="1">
        <v>7.5</v>
      </c>
      <c r="D105" s="1">
        <v>12</v>
      </c>
      <c r="E105" s="1">
        <v>-1</v>
      </c>
    </row>
    <row r="106" spans="1:5" x14ac:dyDescent="0.25">
      <c r="A106" s="1">
        <v>0</v>
      </c>
      <c r="B106" s="1">
        <f>0.646-0.488</f>
        <v>0.15800000000000003</v>
      </c>
      <c r="C106" s="1">
        <f>96-94.8</f>
        <v>1.2000000000000028</v>
      </c>
      <c r="D106" s="1">
        <f>91.8-94</f>
        <v>-2.2000000000000028</v>
      </c>
      <c r="E106" s="1">
        <v>4</v>
      </c>
    </row>
    <row r="107" spans="1:5" x14ac:dyDescent="0.25">
      <c r="A107" s="1">
        <v>5</v>
      </c>
      <c r="B107" s="1">
        <v>7.2999999999999995E-2</v>
      </c>
      <c r="C107" s="1">
        <v>1.9</v>
      </c>
      <c r="D107" s="1">
        <v>0.2</v>
      </c>
      <c r="E107" s="1">
        <v>0</v>
      </c>
    </row>
    <row r="108" spans="1:5" x14ac:dyDescent="0.25">
      <c r="A108" s="1">
        <v>2</v>
      </c>
      <c r="B108" s="1">
        <f>0.512-0.817</f>
        <v>-0.30499999999999994</v>
      </c>
      <c r="C108" s="1">
        <f>106.5-100</f>
        <v>6.5</v>
      </c>
      <c r="D108" s="1">
        <f>106.9-92.8</f>
        <v>14.100000000000009</v>
      </c>
      <c r="E108" s="1">
        <v>3</v>
      </c>
    </row>
    <row r="109" spans="1:5" x14ac:dyDescent="0.25">
      <c r="A109" s="1">
        <v>1</v>
      </c>
      <c r="B109" s="1">
        <f>0.744-0.512</f>
        <v>0.23199999999999998</v>
      </c>
      <c r="C109" s="1">
        <f>110.2-103.3</f>
        <v>6.9000000000000057</v>
      </c>
      <c r="D109" s="1">
        <f>102.9-103.4</f>
        <v>-0.5</v>
      </c>
      <c r="E109" s="1">
        <v>2</v>
      </c>
    </row>
    <row r="110" spans="1:5" x14ac:dyDescent="0.25">
      <c r="A110" s="1">
        <v>6</v>
      </c>
      <c r="B110" s="1">
        <v>-0.158</v>
      </c>
      <c r="C110" s="1">
        <v>6.9</v>
      </c>
      <c r="D110" s="1">
        <v>13.6</v>
      </c>
      <c r="E110" s="1">
        <v>-1</v>
      </c>
    </row>
    <row r="111" spans="1:5" x14ac:dyDescent="0.25">
      <c r="A111" s="1">
        <v>4</v>
      </c>
      <c r="B111" s="1">
        <v>1.2E-2</v>
      </c>
      <c r="C111" s="1">
        <v>-4.5</v>
      </c>
      <c r="D111" s="1">
        <v>-6.5</v>
      </c>
      <c r="E111" s="1">
        <v>-2</v>
      </c>
    </row>
    <row r="112" spans="1:5" x14ac:dyDescent="0.25">
      <c r="A112" s="1">
        <v>5</v>
      </c>
      <c r="B112" s="1">
        <v>-0.11</v>
      </c>
      <c r="C112" s="1">
        <v>8.1</v>
      </c>
      <c r="D112" s="1">
        <v>11</v>
      </c>
      <c r="E112" s="1">
        <v>-2</v>
      </c>
    </row>
    <row r="113" spans="1:5" x14ac:dyDescent="0.25">
      <c r="A113" s="1">
        <v>2</v>
      </c>
      <c r="B113" s="1">
        <f>0.805-0.72</f>
        <v>8.5000000000000075E-2</v>
      </c>
      <c r="C113" s="1">
        <f>100.5-97.5</f>
        <v>3</v>
      </c>
      <c r="D113" s="1">
        <f>90.3-90.1</f>
        <v>0.20000000000000284</v>
      </c>
      <c r="E113" s="1">
        <v>1</v>
      </c>
    </row>
    <row r="114" spans="1:5" x14ac:dyDescent="0.25">
      <c r="A114" s="1">
        <v>1</v>
      </c>
      <c r="B114" s="1">
        <f>0.695-0.683</f>
        <v>1.19999999999999E-2</v>
      </c>
      <c r="C114" s="1">
        <f>108.6-95.4</f>
        <v>13.199999999999989</v>
      </c>
      <c r="D114" s="1">
        <f>101.3-90.6</f>
        <v>10.700000000000003</v>
      </c>
      <c r="E114" s="1">
        <v>0</v>
      </c>
    </row>
    <row r="115" spans="1:5" x14ac:dyDescent="0.25">
      <c r="A115" s="1">
        <v>3</v>
      </c>
      <c r="B115" s="1">
        <f>0.805-0.549</f>
        <v>0.25600000000000001</v>
      </c>
      <c r="C115" s="1">
        <f>100.5-96.4</f>
        <v>4.0999999999999943</v>
      </c>
      <c r="D115" s="1">
        <f>90.3-96.7</f>
        <v>-6.4000000000000057</v>
      </c>
      <c r="E115" s="1">
        <v>0</v>
      </c>
    </row>
    <row r="116" spans="1:5" x14ac:dyDescent="0.25">
      <c r="A116" s="1">
        <v>6</v>
      </c>
      <c r="B116" s="1">
        <v>-8.5999999999999993E-2</v>
      </c>
      <c r="C116" s="1">
        <v>7</v>
      </c>
      <c r="D116" s="1">
        <v>8.9</v>
      </c>
      <c r="E116" s="1">
        <v>0</v>
      </c>
    </row>
    <row r="117" spans="1:5" x14ac:dyDescent="0.25">
      <c r="A117" s="1">
        <v>5</v>
      </c>
      <c r="B117" s="1">
        <v>-3.5999999999999997E-2</v>
      </c>
      <c r="C117" s="1">
        <v>-2.4</v>
      </c>
      <c r="D117" s="1">
        <v>-2</v>
      </c>
      <c r="E117" s="1">
        <v>-2</v>
      </c>
    </row>
    <row r="118" spans="1:5" x14ac:dyDescent="0.25">
      <c r="A118" s="1">
        <v>4</v>
      </c>
      <c r="B118" s="1">
        <f>0.683-0.683</f>
        <v>0</v>
      </c>
      <c r="C118" s="1">
        <v>5.5</v>
      </c>
      <c r="D118" s="1">
        <v>5</v>
      </c>
      <c r="E118" s="1">
        <v>0</v>
      </c>
    </row>
    <row r="119" spans="1:5" x14ac:dyDescent="0.25">
      <c r="A119" s="1">
        <v>3</v>
      </c>
      <c r="B119" s="1">
        <f>0.805-0.451</f>
        <v>0.35400000000000004</v>
      </c>
      <c r="C119" s="1">
        <f>100.5-98.2</f>
        <v>2.2999999999999972</v>
      </c>
      <c r="D119" s="1">
        <f>90.3-100</f>
        <v>-9.7000000000000028</v>
      </c>
      <c r="E119" s="1">
        <v>3</v>
      </c>
    </row>
    <row r="120" spans="1:5" x14ac:dyDescent="0.25">
      <c r="A120" s="1">
        <v>2</v>
      </c>
      <c r="B120" s="1">
        <f>0.549-0.524</f>
        <v>2.5000000000000022E-2</v>
      </c>
      <c r="C120" s="1">
        <f>96.4-98.8</f>
        <v>-2.3999999999999915</v>
      </c>
      <c r="D120" s="1">
        <f>96.7-99.2</f>
        <v>-2.5</v>
      </c>
      <c r="E120" s="1">
        <v>0</v>
      </c>
    </row>
    <row r="121" spans="1:5" x14ac:dyDescent="0.25">
      <c r="A121" s="1">
        <v>5</v>
      </c>
      <c r="B121" s="1">
        <v>-0.23200000000000001</v>
      </c>
      <c r="C121" s="1">
        <v>-0.9</v>
      </c>
      <c r="D121" s="1">
        <v>6.1</v>
      </c>
      <c r="E121" s="1">
        <v>0</v>
      </c>
    </row>
    <row r="122" spans="1:5" x14ac:dyDescent="0.25">
      <c r="A122" s="1">
        <v>1</v>
      </c>
      <c r="B122" s="1">
        <f>0.634-0.5</f>
        <v>0.13400000000000001</v>
      </c>
      <c r="C122" s="1">
        <f>104.5-100.2</f>
        <v>4.2999999999999972</v>
      </c>
      <c r="D122" s="1">
        <f>99-97.3</f>
        <v>1.7000000000000028</v>
      </c>
      <c r="E122" s="1">
        <v>1</v>
      </c>
    </row>
    <row r="123" spans="1:5" x14ac:dyDescent="0.25">
      <c r="A123" s="1">
        <v>7</v>
      </c>
      <c r="B123" s="1">
        <v>-8.5000000000000006E-2</v>
      </c>
      <c r="C123" s="1">
        <v>2.1</v>
      </c>
      <c r="D123" s="1">
        <v>5.7</v>
      </c>
      <c r="E123" s="1">
        <v>-3</v>
      </c>
    </row>
    <row r="124" spans="1:5" x14ac:dyDescent="0.25">
      <c r="A124" s="1">
        <v>6</v>
      </c>
      <c r="B124" s="1">
        <v>-6.0999999999999999E-2</v>
      </c>
      <c r="C124" s="1">
        <v>-0.5</v>
      </c>
      <c r="D124" s="1">
        <v>0.3</v>
      </c>
      <c r="E124" s="1">
        <v>0</v>
      </c>
    </row>
    <row r="125" spans="1:5" x14ac:dyDescent="0.25">
      <c r="A125" s="1">
        <v>1</v>
      </c>
      <c r="B125" s="1">
        <f>0.683-0.671</f>
        <v>1.2000000000000011E-2</v>
      </c>
      <c r="C125" s="1">
        <f>95.4-110.1</f>
        <v>-14.699999999999989</v>
      </c>
      <c r="D125" s="1">
        <f>90.6-105</f>
        <v>-14.400000000000006</v>
      </c>
      <c r="E125" s="1">
        <v>-2</v>
      </c>
    </row>
    <row r="126" spans="1:5" x14ac:dyDescent="0.25">
      <c r="A126" s="1">
        <v>2</v>
      </c>
      <c r="B126" s="1">
        <f>0.659-0.671</f>
        <v>-1.2000000000000011E-2</v>
      </c>
      <c r="C126" s="1">
        <f>106.2-96.7</f>
        <v>9.5</v>
      </c>
      <c r="D126" s="1">
        <f>99.3-92</f>
        <v>7.2999999999999972</v>
      </c>
      <c r="E126" s="1">
        <v>1</v>
      </c>
    </row>
    <row r="127" spans="1:5" x14ac:dyDescent="0.25">
      <c r="A127" s="1">
        <v>6</v>
      </c>
      <c r="B127" s="1">
        <v>-7.2999999999999995E-2</v>
      </c>
      <c r="C127" s="1">
        <v>-5.9</v>
      </c>
      <c r="D127" s="1">
        <v>-4.9000000000000004</v>
      </c>
      <c r="E127" s="1">
        <v>2</v>
      </c>
    </row>
    <row r="128" spans="1:5" x14ac:dyDescent="0.25">
      <c r="A128" s="1">
        <v>5</v>
      </c>
      <c r="B128" s="1">
        <v>8.5000000000000006E-2</v>
      </c>
      <c r="C128" s="1">
        <v>-0.7</v>
      </c>
      <c r="D128" s="1">
        <v>-3</v>
      </c>
      <c r="E128" s="1">
        <v>-1</v>
      </c>
    </row>
    <row r="129" spans="1:5" x14ac:dyDescent="0.25">
      <c r="A129" s="1">
        <v>2</v>
      </c>
      <c r="B129" s="1">
        <f>0.793-0.659</f>
        <v>0.13400000000000001</v>
      </c>
      <c r="C129" s="1">
        <f>106.9-104.3</f>
        <v>2.6000000000000085</v>
      </c>
      <c r="D129" s="1">
        <f>99.3-100.9</f>
        <v>-1.6000000000000085</v>
      </c>
      <c r="E129" s="1">
        <v>2</v>
      </c>
    </row>
    <row r="130" spans="1:5" x14ac:dyDescent="0.25">
      <c r="A130" s="1">
        <v>0</v>
      </c>
      <c r="B130" s="1">
        <f>0.805-0.573</f>
        <v>0.2320000000000001</v>
      </c>
      <c r="C130" s="1">
        <f>100.3-98.1</f>
        <v>2.2000000000000028</v>
      </c>
      <c r="D130" s="1">
        <f>91.4-96.5</f>
        <v>-5.0999999999999943</v>
      </c>
      <c r="E130" s="1">
        <v>2</v>
      </c>
    </row>
    <row r="131" spans="1:5" x14ac:dyDescent="0.25">
      <c r="A131" s="1">
        <v>4</v>
      </c>
      <c r="B131" s="1">
        <v>3.5999999999999997E-2</v>
      </c>
      <c r="C131" s="1">
        <v>-0.1</v>
      </c>
      <c r="D131" s="1">
        <v>-1</v>
      </c>
      <c r="E131" s="1">
        <v>0</v>
      </c>
    </row>
    <row r="132" spans="1:5" x14ac:dyDescent="0.25">
      <c r="A132" s="1">
        <v>1</v>
      </c>
      <c r="B132" s="1">
        <f>0.659-0.61</f>
        <v>4.9000000000000044E-2</v>
      </c>
      <c r="C132" s="1">
        <f>104.3-101.7</f>
        <v>2.5999999999999943</v>
      </c>
      <c r="D132" s="1">
        <f>100.9-99.8</f>
        <v>1.1000000000000085</v>
      </c>
      <c r="E132" s="1">
        <v>4</v>
      </c>
    </row>
    <row r="133" spans="1:5" x14ac:dyDescent="0.25">
      <c r="A133" s="1">
        <v>3</v>
      </c>
      <c r="B133" s="1">
        <f>0.793-0.646</f>
        <v>0.14700000000000002</v>
      </c>
      <c r="C133" s="1">
        <f>106.9-98.4</f>
        <v>8.5</v>
      </c>
      <c r="D133" s="1">
        <f>99.3-94.4</f>
        <v>4.8999999999999915</v>
      </c>
      <c r="E133" s="1">
        <v>4</v>
      </c>
    </row>
    <row r="134" spans="1:5" x14ac:dyDescent="0.25">
      <c r="A134" s="1">
        <v>4</v>
      </c>
      <c r="B134" s="1">
        <v>-4.9000000000000002E-2</v>
      </c>
      <c r="C134" s="1">
        <v>0.2</v>
      </c>
      <c r="D134" s="1">
        <v>1.5</v>
      </c>
      <c r="E134" s="1">
        <v>-2</v>
      </c>
    </row>
    <row r="135" spans="1:5" x14ac:dyDescent="0.25">
      <c r="A135" s="1">
        <v>3</v>
      </c>
      <c r="B135" s="1">
        <f>0.756-0.5</f>
        <v>0.25600000000000001</v>
      </c>
      <c r="C135" s="1">
        <f>100.9-102.2</f>
        <v>-1.2999999999999972</v>
      </c>
      <c r="D135" s="1">
        <f>93.4-102.5</f>
        <v>-9.0999999999999943</v>
      </c>
      <c r="E135" s="1">
        <v>1</v>
      </c>
    </row>
    <row r="136" spans="1:5" x14ac:dyDescent="0.25">
      <c r="A136" s="1">
        <v>7</v>
      </c>
      <c r="B136" s="1">
        <v>-0.32900000000000001</v>
      </c>
      <c r="C136" s="1">
        <v>-6.1</v>
      </c>
      <c r="D136" s="1">
        <v>3.3</v>
      </c>
      <c r="E136" s="1">
        <v>-2</v>
      </c>
    </row>
    <row r="137" spans="1:5" x14ac:dyDescent="0.25">
      <c r="A137" s="1">
        <v>5</v>
      </c>
      <c r="B137" s="1">
        <v>-0.22</v>
      </c>
      <c r="C137" s="1">
        <v>-3.6</v>
      </c>
      <c r="D137" s="1">
        <v>2.9</v>
      </c>
      <c r="E137" s="1">
        <v>-3</v>
      </c>
    </row>
    <row r="138" spans="1:5" x14ac:dyDescent="0.25">
      <c r="A138" s="1">
        <v>6</v>
      </c>
      <c r="B138" s="1">
        <v>4.9000000000000002E-2</v>
      </c>
      <c r="C138" s="1">
        <v>-4.7</v>
      </c>
      <c r="D138" s="1">
        <v>-6.5</v>
      </c>
      <c r="E138" s="1">
        <v>0</v>
      </c>
    </row>
    <row r="139" spans="1:5" x14ac:dyDescent="0.25">
      <c r="A139" s="1">
        <v>1</v>
      </c>
      <c r="B139" s="1">
        <f>0.659-0.598</f>
        <v>6.1000000000000054E-2</v>
      </c>
      <c r="C139" s="1">
        <f>104.3-95.8</f>
        <v>8.5</v>
      </c>
      <c r="D139" s="1">
        <f>100.9-94.3</f>
        <v>6.6000000000000085</v>
      </c>
      <c r="E139" s="1">
        <v>0</v>
      </c>
    </row>
    <row r="140" spans="1:5" x14ac:dyDescent="0.25">
      <c r="A140" s="1">
        <v>2</v>
      </c>
      <c r="B140" s="1">
        <f>0.646-0.659</f>
        <v>-1.3000000000000012E-2</v>
      </c>
      <c r="C140" s="1">
        <f>98.4-99.4</f>
        <v>-1</v>
      </c>
      <c r="D140" s="1">
        <f>94.4-94.1</f>
        <v>0.30000000000001137</v>
      </c>
      <c r="E140" s="1">
        <v>1</v>
      </c>
    </row>
    <row r="141" spans="1:5" x14ac:dyDescent="0.25">
      <c r="A141" s="1">
        <v>6</v>
      </c>
      <c r="B141" s="1">
        <v>-0.20799999999999999</v>
      </c>
      <c r="C141" s="1">
        <v>-3.3</v>
      </c>
      <c r="D141" s="1">
        <v>1.6</v>
      </c>
      <c r="E141" s="1">
        <v>-1</v>
      </c>
    </row>
    <row r="142" spans="1:5" x14ac:dyDescent="0.25">
      <c r="A142" s="1">
        <v>4</v>
      </c>
      <c r="B142" s="1">
        <v>-8.5000000000000006E-2</v>
      </c>
      <c r="C142" s="1">
        <v>-2.5</v>
      </c>
      <c r="D142" s="1">
        <v>-1.4</v>
      </c>
      <c r="E142" s="1">
        <v>0</v>
      </c>
    </row>
    <row r="143" spans="1:5" x14ac:dyDescent="0.25">
      <c r="A143" s="1">
        <v>5</v>
      </c>
      <c r="B143" s="1">
        <v>0.11</v>
      </c>
      <c r="C143" s="1">
        <v>3.6</v>
      </c>
      <c r="D143" s="1">
        <v>-0.3</v>
      </c>
      <c r="E143" s="1">
        <v>2</v>
      </c>
    </row>
    <row r="144" spans="1:5" x14ac:dyDescent="0.25">
      <c r="A144" s="1">
        <v>2</v>
      </c>
      <c r="B144" s="1">
        <f>0.695-0.659</f>
        <v>3.5999999999999921E-2</v>
      </c>
      <c r="C144" s="1">
        <f>101.7-110.2</f>
        <v>-8.5</v>
      </c>
      <c r="D144" s="1">
        <f>97-105.3</f>
        <v>-8.2999999999999972</v>
      </c>
      <c r="E144" s="1">
        <v>2</v>
      </c>
    </row>
    <row r="145" spans="1:5" x14ac:dyDescent="0.25">
      <c r="A145" s="1">
        <v>5</v>
      </c>
      <c r="B145" s="1">
        <v>0.13400000000000001</v>
      </c>
      <c r="C145" s="1">
        <v>2.9</v>
      </c>
      <c r="D145" s="1">
        <f>95.6-95.6</f>
        <v>0</v>
      </c>
      <c r="E145" s="1">
        <v>0</v>
      </c>
    </row>
    <row r="146" spans="1:5" x14ac:dyDescent="0.25">
      <c r="A146" s="1">
        <v>0</v>
      </c>
      <c r="B146" s="1">
        <f>0.72-0.646</f>
        <v>7.3999999999999955E-2</v>
      </c>
      <c r="C146" s="1">
        <f>102.8-101.7</f>
        <v>1.0999999999999943</v>
      </c>
      <c r="D146" s="1">
        <f>95.3-97</f>
        <v>-1.7000000000000028</v>
      </c>
      <c r="E146" s="1">
        <v>2</v>
      </c>
    </row>
    <row r="147" spans="1:5" x14ac:dyDescent="0.25">
      <c r="A147" s="1">
        <v>7</v>
      </c>
      <c r="B147" s="1">
        <v>-4.9000000000000002E-2</v>
      </c>
      <c r="C147" s="1">
        <v>2.5</v>
      </c>
      <c r="D147" s="1">
        <v>1.9</v>
      </c>
      <c r="E147" s="1">
        <v>-2</v>
      </c>
    </row>
    <row r="148" spans="1:5" x14ac:dyDescent="0.25">
      <c r="A148" s="1">
        <v>0</v>
      </c>
      <c r="B148" s="1">
        <f>0.659-0.61</f>
        <v>4.9000000000000044E-2</v>
      </c>
      <c r="C148" s="1">
        <f>110.2-101.4</f>
        <v>8.7999999999999972</v>
      </c>
      <c r="D148" s="1">
        <f>105.3-96.3</f>
        <v>9</v>
      </c>
      <c r="E148" s="1">
        <v>1</v>
      </c>
    </row>
    <row r="149" spans="1:5" x14ac:dyDescent="0.25">
      <c r="A149" s="1">
        <v>3</v>
      </c>
      <c r="B149" s="1">
        <f>0.646-0.561</f>
        <v>8.4999999999999964E-2</v>
      </c>
      <c r="C149" s="1">
        <f>101.7-97.7</f>
        <v>4</v>
      </c>
      <c r="D149" s="1">
        <f>97-96</f>
        <v>1</v>
      </c>
      <c r="E149" s="1">
        <v>1</v>
      </c>
    </row>
    <row r="150" spans="1:5" x14ac:dyDescent="0.25">
      <c r="A150" s="1">
        <v>1</v>
      </c>
      <c r="B150" s="1">
        <f>0.61-0.573</f>
        <v>3.7000000000000033E-2</v>
      </c>
      <c r="C150" s="1">
        <f>99.2-96.5</f>
        <v>2.7000000000000028</v>
      </c>
      <c r="D150" s="1">
        <f>95.6-94.2</f>
        <v>1.3999999999999915</v>
      </c>
      <c r="E150" s="1">
        <v>3</v>
      </c>
    </row>
    <row r="151" spans="1:5" x14ac:dyDescent="0.25">
      <c r="A151" s="1">
        <v>6</v>
      </c>
      <c r="B151" s="1">
        <v>-0.24399999999999999</v>
      </c>
      <c r="C151" s="1">
        <v>-4.5999999999999996</v>
      </c>
      <c r="D151" s="1">
        <v>3.5</v>
      </c>
      <c r="E151" s="1">
        <v>0</v>
      </c>
    </row>
    <row r="152" spans="1:5" x14ac:dyDescent="0.25">
      <c r="A152" s="1">
        <v>7</v>
      </c>
      <c r="B152" s="1">
        <v>-0.183</v>
      </c>
      <c r="C152" s="1">
        <v>-7.5</v>
      </c>
      <c r="D152" s="1">
        <v>-1.5</v>
      </c>
      <c r="E152" s="1">
        <v>-2</v>
      </c>
    </row>
    <row r="153" spans="1:5" x14ac:dyDescent="0.25">
      <c r="A153" s="1">
        <v>2</v>
      </c>
      <c r="B153" s="1">
        <f>0.695-0.61</f>
        <v>8.4999999999999964E-2</v>
      </c>
      <c r="C153" s="1">
        <f>101.7-101.5</f>
        <v>0.20000000000000284</v>
      </c>
      <c r="D153" s="1">
        <f>97-98</f>
        <v>-1</v>
      </c>
      <c r="E153" s="1">
        <v>2</v>
      </c>
    </row>
    <row r="154" spans="1:5" x14ac:dyDescent="0.25">
      <c r="A154" s="1">
        <v>5</v>
      </c>
      <c r="B154" s="1">
        <v>-4.9000000000000002E-2</v>
      </c>
      <c r="C154" s="1">
        <v>-12.1</v>
      </c>
      <c r="D154" s="1">
        <v>-10.5</v>
      </c>
      <c r="E154" s="1">
        <v>1</v>
      </c>
    </row>
    <row r="155" spans="1:5" x14ac:dyDescent="0.25">
      <c r="A155" s="1">
        <v>2</v>
      </c>
      <c r="B155" s="1">
        <f>0.61-0.671</f>
        <v>-6.1000000000000054E-2</v>
      </c>
      <c r="C155" s="1">
        <f>101.4-102</f>
        <v>-0.59999999999999432</v>
      </c>
      <c r="D155" s="1">
        <f>96.3-99.3</f>
        <v>-3</v>
      </c>
      <c r="E155" s="1">
        <v>-2</v>
      </c>
    </row>
    <row r="156" spans="1:5" x14ac:dyDescent="0.25">
      <c r="A156" s="1">
        <v>5</v>
      </c>
      <c r="B156" s="1">
        <f>0.646-0.646</f>
        <v>0</v>
      </c>
      <c r="C156" s="1">
        <v>2.2999999999999998</v>
      </c>
      <c r="D156" s="1">
        <v>3.5</v>
      </c>
      <c r="E156" s="1">
        <v>2</v>
      </c>
    </row>
    <row r="157" spans="1:5" x14ac:dyDescent="0.25">
      <c r="A157" s="1">
        <v>2</v>
      </c>
      <c r="B157" s="1">
        <f>0.695-0.707</f>
        <v>-1.2000000000000011E-2</v>
      </c>
      <c r="C157" s="1">
        <f>100.2-102.1</f>
        <v>-1.8999999999999915</v>
      </c>
      <c r="D157" s="1">
        <f>96-94.6</f>
        <v>1.4000000000000057</v>
      </c>
      <c r="E157" s="1">
        <v>2</v>
      </c>
    </row>
    <row r="158" spans="1:5" x14ac:dyDescent="0.25">
      <c r="A158" s="1">
        <v>1</v>
      </c>
      <c r="B158" s="1">
        <f>0.707-0.756</f>
        <v>-4.9000000000000044E-2</v>
      </c>
      <c r="C158" s="1">
        <f>102.1-98.6</f>
        <v>3.5</v>
      </c>
      <c r="D158" s="1">
        <f>94.6-91.3</f>
        <v>3.2999999999999972</v>
      </c>
      <c r="E158" s="1">
        <v>-3</v>
      </c>
    </row>
    <row r="159" spans="1:5" x14ac:dyDescent="0.25">
      <c r="A159" s="1">
        <v>6</v>
      </c>
      <c r="B159" s="1">
        <v>-2.4E-2</v>
      </c>
      <c r="C159" s="1">
        <v>4.5999999999999996</v>
      </c>
      <c r="D159" s="1">
        <v>5</v>
      </c>
      <c r="E159" s="1">
        <v>-1</v>
      </c>
    </row>
    <row r="160" spans="1:5" x14ac:dyDescent="0.25">
      <c r="A160" s="1">
        <v>5</v>
      </c>
      <c r="B160" s="1">
        <v>-0.219</v>
      </c>
      <c r="C160" s="1">
        <v>-3.6</v>
      </c>
      <c r="D160" s="1">
        <v>4.5</v>
      </c>
      <c r="E160" s="1">
        <v>-1</v>
      </c>
    </row>
    <row r="161" spans="1:5" x14ac:dyDescent="0.25">
      <c r="A161" s="1">
        <v>1</v>
      </c>
      <c r="B161" s="1">
        <f>0.707-0.683</f>
        <v>2.399999999999991E-2</v>
      </c>
      <c r="C161" s="1">
        <f>102.1-96.5</f>
        <v>5.5999999999999943</v>
      </c>
      <c r="D161" s="1">
        <f>94.6-91.1</f>
        <v>3.5</v>
      </c>
      <c r="E161" s="1">
        <v>-2</v>
      </c>
    </row>
    <row r="162" spans="1:5" x14ac:dyDescent="0.25">
      <c r="A162" s="1">
        <v>0</v>
      </c>
      <c r="B162" s="1">
        <f>0.695-0.695</f>
        <v>0</v>
      </c>
      <c r="C162" s="1">
        <f>100.2-101.5</f>
        <v>-1.2999999999999972</v>
      </c>
      <c r="D162" s="1">
        <f>96-95.4</f>
        <v>0.59999999999999432</v>
      </c>
      <c r="E162" s="1">
        <v>-1</v>
      </c>
    </row>
    <row r="163" spans="1:5" x14ac:dyDescent="0.25">
      <c r="A163" s="1">
        <v>4</v>
      </c>
      <c r="B163" s="1">
        <v>-0.11</v>
      </c>
      <c r="C163" s="1">
        <v>-4.9000000000000004</v>
      </c>
      <c r="D163" s="1">
        <v>-3.4</v>
      </c>
      <c r="E163" s="1">
        <v>2</v>
      </c>
    </row>
    <row r="164" spans="1:5" x14ac:dyDescent="0.25">
      <c r="A164" s="1">
        <v>2</v>
      </c>
      <c r="B164" s="1">
        <f>0.537-0.634</f>
        <v>-9.6999999999999975E-2</v>
      </c>
      <c r="C164" s="1">
        <f>95-99.2</f>
        <v>-4.2000000000000028</v>
      </c>
      <c r="D164" s="1">
        <f>95.8-93.7</f>
        <v>2.0999999999999943</v>
      </c>
      <c r="E164" s="1">
        <v>2</v>
      </c>
    </row>
    <row r="165" spans="1:5" x14ac:dyDescent="0.25">
      <c r="A165" s="1">
        <v>7</v>
      </c>
      <c r="B165" s="1">
        <v>-0.17100000000000001</v>
      </c>
      <c r="C165" s="1">
        <v>10</v>
      </c>
      <c r="D165" s="1">
        <v>14.6</v>
      </c>
      <c r="E165" s="1">
        <v>-4</v>
      </c>
    </row>
    <row r="166" spans="1:5" x14ac:dyDescent="0.25">
      <c r="A166" s="1">
        <v>6</v>
      </c>
      <c r="B166" s="1">
        <v>-0.30499999999999999</v>
      </c>
      <c r="C166" s="1">
        <v>1.2</v>
      </c>
      <c r="D166" s="1">
        <v>9.6</v>
      </c>
      <c r="E166" s="1">
        <v>-2</v>
      </c>
    </row>
    <row r="167" spans="1:5" x14ac:dyDescent="0.25">
      <c r="A167" s="1">
        <v>1</v>
      </c>
      <c r="B167" s="1">
        <f>0.707-0.5</f>
        <v>0.20699999999999996</v>
      </c>
      <c r="C167" s="1">
        <f>102.1-99</f>
        <v>3.0999999999999943</v>
      </c>
      <c r="D167" s="1">
        <f>94.6-97.5</f>
        <v>-2.9000000000000057</v>
      </c>
      <c r="E167" s="1">
        <v>3</v>
      </c>
    </row>
    <row r="168" spans="1:5" x14ac:dyDescent="0.25">
      <c r="A168" s="1">
        <v>5</v>
      </c>
      <c r="B168" s="1">
        <v>-0.11</v>
      </c>
      <c r="C168" s="1">
        <v>-3.9</v>
      </c>
      <c r="D168" s="1">
        <v>-1.2</v>
      </c>
      <c r="E168" s="1">
        <v>0</v>
      </c>
    </row>
    <row r="169" spans="1:5" x14ac:dyDescent="0.25">
      <c r="A169" s="1">
        <v>2</v>
      </c>
      <c r="B169" s="1">
        <f>0.695-0.561</f>
        <v>0.1339999999999999</v>
      </c>
      <c r="C169" s="1">
        <f>101.5-94.9</f>
        <v>6.5999999999999943</v>
      </c>
      <c r="D169" s="1">
        <f>95.4-94</f>
        <v>1.4000000000000057</v>
      </c>
      <c r="E169" s="1">
        <v>4</v>
      </c>
    </row>
    <row r="170" spans="1:5" x14ac:dyDescent="0.25">
      <c r="A170" s="1">
        <v>5</v>
      </c>
      <c r="B170" s="1">
        <v>0.183</v>
      </c>
      <c r="C170" s="1">
        <v>3.8</v>
      </c>
      <c r="D170" s="1">
        <v>0.4</v>
      </c>
      <c r="E170" s="1">
        <v>0</v>
      </c>
    </row>
    <row r="171" spans="1:5" x14ac:dyDescent="0.25">
      <c r="A171" s="1">
        <v>6</v>
      </c>
      <c r="B171" s="1">
        <v>-6.0999999999999999E-2</v>
      </c>
      <c r="C171" s="1">
        <v>2.7</v>
      </c>
      <c r="D171" s="1">
        <v>1.7</v>
      </c>
      <c r="E171" s="1">
        <v>-2</v>
      </c>
    </row>
    <row r="172" spans="1:5" x14ac:dyDescent="0.25">
      <c r="A172" s="1">
        <v>1</v>
      </c>
      <c r="B172" s="1">
        <f>0.697-0.712</f>
        <v>-1.5000000000000013E-2</v>
      </c>
      <c r="C172" s="1">
        <f>98.5-103.1</f>
        <v>-4.5999999999999943</v>
      </c>
      <c r="D172" s="1">
        <f>92.5-96.9</f>
        <v>-4.4000000000000057</v>
      </c>
      <c r="E172" s="1">
        <v>0</v>
      </c>
    </row>
    <row r="173" spans="1:5" x14ac:dyDescent="0.25">
      <c r="A173" s="1">
        <v>3</v>
      </c>
      <c r="B173" s="1">
        <f>0.697-0.591</f>
        <v>0.10599999999999998</v>
      </c>
      <c r="C173" s="1">
        <f>98.5-91.8</f>
        <v>6.7000000000000028</v>
      </c>
      <c r="D173" s="1">
        <f>92.5-89.3</f>
        <v>3.2000000000000028</v>
      </c>
      <c r="E173" s="1">
        <v>-2</v>
      </c>
    </row>
    <row r="174" spans="1:5" x14ac:dyDescent="0.25">
      <c r="A174" s="1">
        <v>2</v>
      </c>
      <c r="B174" s="1">
        <f>0.712-0.758</f>
        <v>-4.6000000000000041E-2</v>
      </c>
      <c r="C174" s="1">
        <f>103.1-103.7</f>
        <v>-0.60000000000000853</v>
      </c>
      <c r="D174" s="1">
        <f>96.9-96.5</f>
        <v>0.40000000000000568</v>
      </c>
      <c r="E174" s="1">
        <v>-1</v>
      </c>
    </row>
    <row r="175" spans="1:5" x14ac:dyDescent="0.25">
      <c r="A175" s="1">
        <v>4</v>
      </c>
      <c r="B175" s="1">
        <v>-6.0999999999999999E-2</v>
      </c>
      <c r="C175" s="1">
        <v>1.8</v>
      </c>
      <c r="D175" s="1">
        <v>0.1</v>
      </c>
      <c r="E175" s="1">
        <v>1</v>
      </c>
    </row>
    <row r="176" spans="1:5" x14ac:dyDescent="0.25">
      <c r="A176" s="1">
        <v>5</v>
      </c>
      <c r="B176" s="1">
        <v>-6.0999999999999999E-2</v>
      </c>
      <c r="C176" s="1">
        <v>-0.8</v>
      </c>
      <c r="D176" s="1">
        <v>1.9</v>
      </c>
      <c r="E176" s="1">
        <v>-2</v>
      </c>
    </row>
    <row r="177" spans="1:5" x14ac:dyDescent="0.25">
      <c r="A177" s="1">
        <v>6</v>
      </c>
      <c r="B177" s="1">
        <v>-9.0999999999999998E-2</v>
      </c>
      <c r="C177" s="1">
        <v>-5.8</v>
      </c>
      <c r="D177" s="1">
        <v>-1</v>
      </c>
      <c r="E177" s="1">
        <v>-1</v>
      </c>
    </row>
    <row r="178" spans="1:5" x14ac:dyDescent="0.25">
      <c r="A178" s="1">
        <v>0</v>
      </c>
      <c r="B178" s="1">
        <f>0.758-0.606</f>
        <v>0.15200000000000002</v>
      </c>
      <c r="C178" s="1">
        <f>103.7-97.5</f>
        <v>6.2000000000000028</v>
      </c>
      <c r="D178" s="1">
        <f>96.5-95</f>
        <v>1.5</v>
      </c>
      <c r="E178" s="1">
        <v>1</v>
      </c>
    </row>
    <row r="179" spans="1:5" x14ac:dyDescent="0.25">
      <c r="A179" s="1">
        <v>2</v>
      </c>
      <c r="B179" s="1">
        <f>0.591-0.606</f>
        <v>-1.5000000000000013E-2</v>
      </c>
      <c r="C179" s="1">
        <f>91.8-96.6</f>
        <v>-4.7999999999999972</v>
      </c>
      <c r="D179" s="1">
        <f>89.3-93.2</f>
        <v>-3.9000000000000057</v>
      </c>
      <c r="E179" s="1">
        <v>1</v>
      </c>
    </row>
    <row r="180" spans="1:5" x14ac:dyDescent="0.25">
      <c r="A180" s="1">
        <v>1</v>
      </c>
      <c r="B180" s="1">
        <f>0.636-0.561</f>
        <v>7.4999999999999956E-2</v>
      </c>
      <c r="C180" s="1">
        <f>97.7-94.2</f>
        <v>3.5</v>
      </c>
      <c r="D180" s="1">
        <f>94.4-93.4</f>
        <v>1</v>
      </c>
      <c r="E180" s="1">
        <v>-2</v>
      </c>
    </row>
    <row r="181" spans="1:5" x14ac:dyDescent="0.25">
      <c r="A181" s="1">
        <v>6</v>
      </c>
      <c r="B181" s="1">
        <v>-0.152</v>
      </c>
      <c r="C181" s="1">
        <v>-0.7</v>
      </c>
      <c r="D181" s="1">
        <v>2.2000000000000002</v>
      </c>
      <c r="E181" s="1">
        <v>-3</v>
      </c>
    </row>
    <row r="182" spans="1:5" x14ac:dyDescent="0.25">
      <c r="A182" s="1">
        <v>5</v>
      </c>
      <c r="B182" s="1">
        <v>0.22800000000000001</v>
      </c>
      <c r="C182" s="1">
        <v>2.7</v>
      </c>
      <c r="D182" s="1">
        <v>-1.2</v>
      </c>
      <c r="E182" s="1">
        <v>1</v>
      </c>
    </row>
    <row r="183" spans="1:5" x14ac:dyDescent="0.25">
      <c r="A183" s="1">
        <v>3</v>
      </c>
      <c r="B183" s="1">
        <f>0.606-0.621</f>
        <v>-1.5000000000000013E-2</v>
      </c>
      <c r="C183" s="1">
        <f>97.5-95</f>
        <v>2.5</v>
      </c>
      <c r="D183" s="1">
        <f>95-93</f>
        <v>2</v>
      </c>
      <c r="E183" s="1">
        <v>1</v>
      </c>
    </row>
    <row r="184" spans="1:5" x14ac:dyDescent="0.25">
      <c r="A184" s="1">
        <v>4</v>
      </c>
      <c r="B184" s="1">
        <v>-4.4999999999999998E-2</v>
      </c>
      <c r="C184" s="1">
        <v>6.8</v>
      </c>
      <c r="D184" s="1">
        <v>5.3</v>
      </c>
      <c r="E184" s="1">
        <v>-2</v>
      </c>
    </row>
    <row r="185" spans="1:5" x14ac:dyDescent="0.25">
      <c r="A185" s="1">
        <v>7</v>
      </c>
      <c r="B185" s="1">
        <v>-0.16700000000000001</v>
      </c>
      <c r="C185" s="1">
        <v>-7.3</v>
      </c>
      <c r="D185" s="1">
        <v>-2.1</v>
      </c>
      <c r="E185" s="1">
        <v>-2</v>
      </c>
    </row>
    <row r="186" spans="1:5" x14ac:dyDescent="0.25">
      <c r="A186" s="1">
        <v>0</v>
      </c>
      <c r="B186" s="1">
        <f>0.758-0.545</f>
        <v>0.21299999999999997</v>
      </c>
      <c r="C186" s="1">
        <f>103.7-99.7</f>
        <v>4</v>
      </c>
      <c r="D186" s="1">
        <f>96.5-99</f>
        <v>-2.5</v>
      </c>
      <c r="E186" s="1">
        <v>2</v>
      </c>
    </row>
    <row r="187" spans="1:5" x14ac:dyDescent="0.25">
      <c r="A187" s="1">
        <v>3</v>
      </c>
      <c r="B187" s="1">
        <f>0.805-0.707</f>
        <v>9.8000000000000087E-2</v>
      </c>
      <c r="C187" s="1">
        <f>102.9-103</f>
        <v>-9.9999999999994316E-2</v>
      </c>
      <c r="D187" s="1">
        <f>95-96.6</f>
        <v>-1.5999999999999943</v>
      </c>
      <c r="E187" s="1">
        <v>2</v>
      </c>
    </row>
    <row r="188" spans="1:5" x14ac:dyDescent="0.25">
      <c r="A188" s="1">
        <v>4</v>
      </c>
      <c r="B188" s="1">
        <v>-0.2</v>
      </c>
      <c r="C188" s="1">
        <v>-8.1999999999999993</v>
      </c>
      <c r="D188" s="1">
        <v>-4.3</v>
      </c>
      <c r="E188" s="1">
        <v>1</v>
      </c>
    </row>
    <row r="189" spans="1:5" x14ac:dyDescent="0.25">
      <c r="A189" s="1">
        <v>7</v>
      </c>
      <c r="B189" s="1">
        <v>-2.4E-2</v>
      </c>
      <c r="C189" s="1">
        <v>-9.6</v>
      </c>
      <c r="D189" s="1">
        <v>-7.3</v>
      </c>
      <c r="E189" s="1">
        <v>0</v>
      </c>
    </row>
    <row r="190" spans="1:5" x14ac:dyDescent="0.25">
      <c r="A190" s="1">
        <v>2</v>
      </c>
      <c r="B190" s="1">
        <f>0.605-0.659</f>
        <v>-5.4000000000000048E-2</v>
      </c>
      <c r="C190" s="1">
        <f>94.7-100</f>
        <v>-5.2999999999999972</v>
      </c>
      <c r="D190" s="1">
        <f>90.7-95.7</f>
        <v>-5</v>
      </c>
      <c r="E190" s="1">
        <v>0</v>
      </c>
    </row>
    <row r="191" spans="1:5" x14ac:dyDescent="0.25">
      <c r="A191" s="1">
        <v>1</v>
      </c>
      <c r="B191" s="1">
        <f>0.805-0.549</f>
        <v>0.25600000000000001</v>
      </c>
      <c r="C191" s="1">
        <f>102.9-93.2</f>
        <v>9.7000000000000028</v>
      </c>
      <c r="D191" s="1">
        <f>95-92.9</f>
        <v>2.0999999999999943</v>
      </c>
      <c r="E191" s="1">
        <v>0</v>
      </c>
    </row>
    <row r="192" spans="1:5" x14ac:dyDescent="0.25">
      <c r="A192" s="1">
        <v>6</v>
      </c>
      <c r="B192" s="1">
        <v>4.9000000000000002E-2</v>
      </c>
      <c r="C192" s="1">
        <v>12.3</v>
      </c>
      <c r="D192" s="1">
        <v>7.2</v>
      </c>
      <c r="E192" s="1">
        <v>-1</v>
      </c>
    </row>
    <row r="193" spans="1:5" x14ac:dyDescent="0.25">
      <c r="A193" s="1">
        <v>5</v>
      </c>
      <c r="B193" s="1">
        <v>-0.13400000000000001</v>
      </c>
      <c r="C193" s="1">
        <v>-1.8</v>
      </c>
      <c r="D193" s="1">
        <v>3.7</v>
      </c>
      <c r="E193" s="1">
        <v>0</v>
      </c>
    </row>
    <row r="194" spans="1:5" x14ac:dyDescent="0.25">
      <c r="A194" s="1">
        <v>3</v>
      </c>
      <c r="B194" s="1">
        <f>0.549-0.598</f>
        <v>-4.8999999999999932E-2</v>
      </c>
      <c r="C194" s="1">
        <f>93.2-96.9</f>
        <v>-3.7000000000000028</v>
      </c>
      <c r="D194" s="1">
        <f>92.9-95.1</f>
        <v>-2.1999999999999886</v>
      </c>
      <c r="E194" s="1">
        <v>2</v>
      </c>
    </row>
    <row r="195" spans="1:5" x14ac:dyDescent="0.25">
      <c r="A195" s="1">
        <v>2</v>
      </c>
      <c r="B195" s="1">
        <f>0.605-0.537</f>
        <v>6.7999999999999949E-2</v>
      </c>
      <c r="C195" s="1">
        <f>94.7-98</f>
        <v>-3.2999999999999972</v>
      </c>
      <c r="D195" s="1">
        <f>90.7-97.5</f>
        <v>-6.7999999999999972</v>
      </c>
      <c r="E195" s="1">
        <v>0</v>
      </c>
    </row>
    <row r="196" spans="1:5" x14ac:dyDescent="0.25">
      <c r="A196" s="1">
        <v>0</v>
      </c>
      <c r="B196" s="1">
        <f>0.805-0.463</f>
        <v>0.34200000000000003</v>
      </c>
      <c r="C196" s="1">
        <f>102.9-98.9</f>
        <v>4</v>
      </c>
      <c r="D196" s="1">
        <f>95-100.4</f>
        <v>-5.4000000000000057</v>
      </c>
      <c r="E196" s="1">
        <v>2</v>
      </c>
    </row>
    <row r="197" spans="1:5" x14ac:dyDescent="0.25">
      <c r="A197" s="1">
        <v>5</v>
      </c>
      <c r="B197" s="1">
        <v>-0.153</v>
      </c>
      <c r="C197" s="1">
        <v>-3.5</v>
      </c>
      <c r="D197" s="1">
        <v>1</v>
      </c>
      <c r="E197" s="1">
        <v>-2</v>
      </c>
    </row>
    <row r="198" spans="1:5" x14ac:dyDescent="0.25">
      <c r="A198" s="1">
        <v>2</v>
      </c>
      <c r="B198" s="1">
        <f>0.573-0.695</f>
        <v>-0.122</v>
      </c>
      <c r="C198" s="1">
        <f>101.2-106.1</f>
        <v>-4.8999999999999915</v>
      </c>
      <c r="D198" s="1">
        <f>100.3-101.1</f>
        <v>-0.79999999999999716</v>
      </c>
      <c r="E198" s="1">
        <v>-2</v>
      </c>
    </row>
    <row r="199" spans="1:5" x14ac:dyDescent="0.25">
      <c r="A199" s="1">
        <v>5</v>
      </c>
      <c r="B199" s="1">
        <f>0.683-0.683</f>
        <v>0</v>
      </c>
      <c r="C199" s="1">
        <v>7.7</v>
      </c>
      <c r="D199" s="1">
        <v>5.3</v>
      </c>
      <c r="E199" s="1">
        <v>2</v>
      </c>
    </row>
    <row r="200" spans="1:5" x14ac:dyDescent="0.25">
      <c r="A200" s="1">
        <v>2</v>
      </c>
      <c r="B200" s="1">
        <f>0.732-0.549</f>
        <v>0.18299999999999994</v>
      </c>
      <c r="C200" s="1">
        <f>105.7-106</f>
        <v>-0.29999999999999716</v>
      </c>
      <c r="D200" s="1">
        <f>96.5-102.5</f>
        <v>-6</v>
      </c>
      <c r="E200" s="1">
        <v>1</v>
      </c>
    </row>
    <row r="201" spans="1:5" x14ac:dyDescent="0.25">
      <c r="A201" s="1">
        <v>7</v>
      </c>
      <c r="B201" s="1">
        <v>-0.158</v>
      </c>
      <c r="C201" s="1">
        <v>-0.8</v>
      </c>
      <c r="D201" s="1">
        <v>4.4000000000000004</v>
      </c>
      <c r="E201" s="1">
        <v>-1</v>
      </c>
    </row>
    <row r="202" spans="1:5" x14ac:dyDescent="0.25">
      <c r="A202" s="1">
        <v>1</v>
      </c>
      <c r="B202" s="1">
        <f>0.756-0.659</f>
        <v>9.6999999999999975E-2</v>
      </c>
      <c r="C202" s="1">
        <f>105.4-102.2</f>
        <v>3.2000000000000028</v>
      </c>
      <c r="D202" s="1">
        <f>97.6-97.4</f>
        <v>0.19999999999998863</v>
      </c>
      <c r="E202" s="1">
        <v>0</v>
      </c>
    </row>
    <row r="203" spans="1:5" x14ac:dyDescent="0.25">
      <c r="A203" s="1">
        <v>5</v>
      </c>
      <c r="B203" s="1">
        <v>2.4E-2</v>
      </c>
      <c r="C203" s="1">
        <v>-5.5</v>
      </c>
      <c r="D203" s="1">
        <v>-5.0999999999999996</v>
      </c>
      <c r="E203" s="1">
        <v>0</v>
      </c>
    </row>
    <row r="204" spans="1:5" x14ac:dyDescent="0.25">
      <c r="A204" s="1">
        <v>2</v>
      </c>
      <c r="B204" s="1">
        <f>0.756-0.72</f>
        <v>3.6000000000000032E-2</v>
      </c>
      <c r="C204" s="1">
        <f>105.4-106.2</f>
        <v>-0.79999999999999716</v>
      </c>
      <c r="D204" s="1">
        <f>97.6-99.8</f>
        <v>-2.2000000000000028</v>
      </c>
      <c r="E204" s="1">
        <v>-4</v>
      </c>
    </row>
    <row r="205" spans="1:5" x14ac:dyDescent="0.25">
      <c r="A205" s="1">
        <v>5</v>
      </c>
      <c r="B205" s="1">
        <v>-0.14599999999999999</v>
      </c>
      <c r="C205" s="1">
        <v>4</v>
      </c>
      <c r="D205" s="1">
        <v>7.1</v>
      </c>
      <c r="E205" s="1">
        <v>-1</v>
      </c>
    </row>
    <row r="206" spans="1:5" x14ac:dyDescent="0.25">
      <c r="A206" s="1">
        <v>6</v>
      </c>
      <c r="B206" s="1">
        <v>-0.122</v>
      </c>
      <c r="C206" s="1">
        <v>-3.7</v>
      </c>
      <c r="D206" s="1">
        <v>2.1</v>
      </c>
      <c r="E206" s="1">
        <v>4</v>
      </c>
    </row>
    <row r="207" spans="1:5" x14ac:dyDescent="0.25">
      <c r="A207" s="1">
        <v>2</v>
      </c>
      <c r="B207" s="1">
        <f>0.72-0.695</f>
        <v>2.5000000000000022E-2</v>
      </c>
      <c r="C207" s="1">
        <f>106.2-107.9</f>
        <v>-1.7000000000000028</v>
      </c>
      <c r="D207" s="1">
        <f>99.8-101</f>
        <v>-1.2000000000000028</v>
      </c>
      <c r="E207" s="1">
        <v>0</v>
      </c>
    </row>
    <row r="208" spans="1:5" x14ac:dyDescent="0.25">
      <c r="A208" s="1">
        <v>1</v>
      </c>
      <c r="B208" s="1">
        <f>0.756-0.659</f>
        <v>9.6999999999999975E-2</v>
      </c>
      <c r="C208" s="1">
        <f>105.4-106.7</f>
        <v>-1.2999999999999972</v>
      </c>
      <c r="D208" s="1">
        <f>97.6-102.8</f>
        <v>-5.2000000000000028</v>
      </c>
      <c r="E208" s="1">
        <v>0</v>
      </c>
    </row>
    <row r="209" spans="1:5" x14ac:dyDescent="0.25">
      <c r="A209" s="1">
        <v>4</v>
      </c>
      <c r="B209" s="1">
        <v>4.8000000000000001E-2</v>
      </c>
      <c r="C209" s="1">
        <v>2.8</v>
      </c>
      <c r="D209" s="1">
        <v>-1.5</v>
      </c>
      <c r="E209" s="1">
        <v>0</v>
      </c>
    </row>
    <row r="210" spans="1:5" x14ac:dyDescent="0.25">
      <c r="A210" s="1">
        <v>3</v>
      </c>
      <c r="B210" s="1">
        <f>0.683-0.463</f>
        <v>0.22000000000000003</v>
      </c>
      <c r="C210" s="1">
        <f>96.7-101</f>
        <v>-4.2999999999999972</v>
      </c>
      <c r="D210" s="1">
        <f>92.3-101.5</f>
        <v>-9.2000000000000028</v>
      </c>
      <c r="E210" s="1">
        <v>0</v>
      </c>
    </row>
    <row r="211" spans="1:5" x14ac:dyDescent="0.25">
      <c r="A211" s="1">
        <v>0</v>
      </c>
      <c r="B211" s="1">
        <f>0.659-0.524</f>
        <v>0.13500000000000001</v>
      </c>
      <c r="C211" s="1">
        <f>102.2-96.9</f>
        <v>5.2999999999999972</v>
      </c>
      <c r="D211" s="1">
        <f>97.4-97.1</f>
        <v>0.30000000000001137</v>
      </c>
      <c r="E211" s="1">
        <v>4</v>
      </c>
    </row>
    <row r="212" spans="1:5" x14ac:dyDescent="0.25">
      <c r="A212" s="1">
        <v>6</v>
      </c>
      <c r="B212" s="1">
        <v>4.8000000000000001E-2</v>
      </c>
      <c r="C212" s="1">
        <v>-7</v>
      </c>
      <c r="D212" s="1">
        <v>-7.6</v>
      </c>
      <c r="E212" s="1">
        <v>-1</v>
      </c>
    </row>
    <row r="213" spans="1:5" x14ac:dyDescent="0.25">
      <c r="A213" s="1">
        <v>4</v>
      </c>
      <c r="B213" s="1">
        <v>-7.2999999999999995E-2</v>
      </c>
      <c r="C213" s="1">
        <v>-3.6</v>
      </c>
      <c r="D213" s="1">
        <v>-1.5</v>
      </c>
      <c r="E213" s="1">
        <v>0</v>
      </c>
    </row>
    <row r="214" spans="1:5" x14ac:dyDescent="0.25">
      <c r="A214" s="1">
        <v>3</v>
      </c>
      <c r="B214" s="1">
        <f>0.72-0.61</f>
        <v>0.10999999999999999</v>
      </c>
      <c r="C214" s="1">
        <f>106.2-96.1</f>
        <v>10.100000000000009</v>
      </c>
      <c r="D214" s="1">
        <f>99.8-94.6</f>
        <v>5.2000000000000028</v>
      </c>
      <c r="E214" s="1">
        <v>2</v>
      </c>
    </row>
    <row r="215" spans="1:5" x14ac:dyDescent="0.25">
      <c r="A215" s="1">
        <v>5</v>
      </c>
      <c r="B215" s="1">
        <f>0.659-0.659</f>
        <v>0</v>
      </c>
      <c r="C215" s="1">
        <v>1</v>
      </c>
      <c r="D215" s="1">
        <v>0.3</v>
      </c>
      <c r="E215" s="1">
        <v>2</v>
      </c>
    </row>
    <row r="216" spans="1:5" x14ac:dyDescent="0.25">
      <c r="A216" s="1">
        <v>4</v>
      </c>
      <c r="B216" s="1">
        <v>-0.158</v>
      </c>
      <c r="C216" s="1">
        <v>-0.6</v>
      </c>
      <c r="D216" s="1">
        <v>4.8</v>
      </c>
      <c r="E216" s="1">
        <v>-4</v>
      </c>
    </row>
    <row r="217" spans="1:5" x14ac:dyDescent="0.25">
      <c r="A217" s="1">
        <v>2</v>
      </c>
      <c r="B217" s="1">
        <f>0.817-0.646</f>
        <v>0.17099999999999993</v>
      </c>
      <c r="C217" s="1">
        <f>110-103.1</f>
        <v>6.9000000000000057</v>
      </c>
      <c r="D217" s="1">
        <f>99.9-98.7</f>
        <v>1.2000000000000028</v>
      </c>
      <c r="E217" s="1">
        <v>0</v>
      </c>
    </row>
    <row r="218" spans="1:5" x14ac:dyDescent="0.25">
      <c r="A218" s="1">
        <v>7</v>
      </c>
      <c r="B218" s="1">
        <v>8.5999999999999993E-2</v>
      </c>
      <c r="C218" s="1">
        <v>-0.6</v>
      </c>
      <c r="D218" s="1">
        <v>-1.6</v>
      </c>
      <c r="E218" s="1">
        <v>2</v>
      </c>
    </row>
    <row r="219" spans="1:5" x14ac:dyDescent="0.25">
      <c r="A219" s="1">
        <v>1</v>
      </c>
      <c r="B219" s="1">
        <f>0.817-0.683</f>
        <v>0.1339999999999999</v>
      </c>
      <c r="C219" s="1">
        <f>110-103.9</f>
        <v>6.0999999999999943</v>
      </c>
      <c r="D219" s="1">
        <f>99.9-100.5</f>
        <v>-0.59999999999999432</v>
      </c>
      <c r="E219" s="1">
        <v>4</v>
      </c>
    </row>
    <row r="220" spans="1:5" x14ac:dyDescent="0.25">
      <c r="A220" s="1">
        <v>5</v>
      </c>
      <c r="B220" s="1">
        <v>-0.17100000000000001</v>
      </c>
      <c r="C220" s="1">
        <v>-4</v>
      </c>
      <c r="D220" s="1">
        <v>0.7</v>
      </c>
      <c r="E220" s="1">
        <v>-2</v>
      </c>
    </row>
    <row r="221" spans="1:5" x14ac:dyDescent="0.25">
      <c r="A221" s="1">
        <v>2</v>
      </c>
      <c r="B221" s="1">
        <f>0.646-0.61</f>
        <v>3.6000000000000032E-2</v>
      </c>
      <c r="C221" s="1">
        <f>103.1-100.8</f>
        <v>2.2999999999999972</v>
      </c>
      <c r="D221" s="1">
        <f>98.7-97.8</f>
        <v>0.90000000000000568</v>
      </c>
      <c r="E221" s="1">
        <v>2</v>
      </c>
    </row>
    <row r="222" spans="1:5" x14ac:dyDescent="0.25">
      <c r="A222" s="1">
        <v>5</v>
      </c>
      <c r="B222" s="1">
        <v>-0.14599999999999999</v>
      </c>
      <c r="C222" s="1">
        <v>-11.7</v>
      </c>
      <c r="D222" s="1">
        <v>-4.8</v>
      </c>
      <c r="E222" s="1">
        <v>-1</v>
      </c>
    </row>
    <row r="223" spans="1:5" x14ac:dyDescent="0.25">
      <c r="A223" s="1">
        <v>3</v>
      </c>
      <c r="B223" s="1">
        <f>0.683-0.683</f>
        <v>0</v>
      </c>
      <c r="C223" s="1">
        <f>103.9-106.7</f>
        <v>-2.7999999999999972</v>
      </c>
      <c r="D223" s="1">
        <f>100.5-100.1</f>
        <v>0.40000000000000568</v>
      </c>
      <c r="E223" s="1">
        <v>0</v>
      </c>
    </row>
    <row r="224" spans="1:5" x14ac:dyDescent="0.25">
      <c r="A224" s="1">
        <v>2</v>
      </c>
      <c r="B224" s="1">
        <f>0.732-0.463</f>
        <v>0.26899999999999996</v>
      </c>
      <c r="C224" s="1">
        <f>102.5-98</f>
        <v>4.5</v>
      </c>
      <c r="D224" s="1">
        <f>97.1-100.9</f>
        <v>-3.8000000000000114</v>
      </c>
      <c r="E224" s="1">
        <v>4</v>
      </c>
    </row>
    <row r="225" spans="1:5" x14ac:dyDescent="0.25">
      <c r="A225" s="1">
        <v>5</v>
      </c>
      <c r="B225" s="1">
        <v>-0.11</v>
      </c>
      <c r="C225" s="1">
        <v>-3</v>
      </c>
      <c r="D225" s="1">
        <v>-0.4</v>
      </c>
      <c r="E225" s="1">
        <v>-2</v>
      </c>
    </row>
    <row r="226" spans="1:5" x14ac:dyDescent="0.25">
      <c r="A226" s="1">
        <v>0</v>
      </c>
      <c r="B226" s="1">
        <f>0.646-0.488</f>
        <v>0.15800000000000003</v>
      </c>
      <c r="C226" s="1">
        <f>103.1-101.4</f>
        <v>1.6999999999999886</v>
      </c>
      <c r="D226" s="1">
        <f>98.7-101.2</f>
        <v>-2.5</v>
      </c>
      <c r="E226" s="1">
        <v>0</v>
      </c>
    </row>
    <row r="227" spans="1:5" x14ac:dyDescent="0.25">
      <c r="A227" s="1">
        <v>7</v>
      </c>
      <c r="B227" s="1">
        <v>3.6999999999999998E-2</v>
      </c>
      <c r="C227" s="1">
        <v>5.5</v>
      </c>
      <c r="D227" s="1">
        <v>3.1</v>
      </c>
      <c r="E227" s="1">
        <v>3</v>
      </c>
    </row>
    <row r="228" spans="1:5" x14ac:dyDescent="0.25">
      <c r="A228" s="1">
        <v>0</v>
      </c>
      <c r="B228" s="3">
        <f>0.817-0.549</f>
        <v>0.2679999999999999</v>
      </c>
      <c r="C228" s="3">
        <f>110-99.4</f>
        <v>10.599999999999994</v>
      </c>
      <c r="D228" s="3">
        <f>99.9-98.6</f>
        <v>1.3000000000000114</v>
      </c>
      <c r="E228" s="1">
        <v>2</v>
      </c>
    </row>
    <row r="229" spans="1:5" x14ac:dyDescent="0.25">
      <c r="A229" s="1">
        <v>6</v>
      </c>
      <c r="B229" s="1">
        <v>-7.2999999999999995E-2</v>
      </c>
      <c r="C229" s="1">
        <v>1.3</v>
      </c>
      <c r="D229" s="1">
        <v>1.8</v>
      </c>
      <c r="E229" s="1">
        <v>-2</v>
      </c>
    </row>
    <row r="230" spans="1:5" x14ac:dyDescent="0.25">
      <c r="A230" s="1">
        <v>4</v>
      </c>
      <c r="B230" s="1">
        <v>-1.2E-2</v>
      </c>
      <c r="C230" s="1">
        <v>-3.5</v>
      </c>
      <c r="D230" s="1">
        <v>-3.1</v>
      </c>
      <c r="E230" s="1">
        <v>0</v>
      </c>
    </row>
    <row r="231" spans="1:5" x14ac:dyDescent="0.25">
      <c r="A231" s="1">
        <v>1</v>
      </c>
      <c r="B231" s="1">
        <f>0.671-0.622</f>
        <v>4.9000000000000044E-2</v>
      </c>
      <c r="C231" s="1">
        <f>98.3-102.8</f>
        <v>-4.5</v>
      </c>
      <c r="D231" s="1">
        <f>95.1-98.6</f>
        <v>-3.5</v>
      </c>
      <c r="E231" s="1">
        <v>4</v>
      </c>
    </row>
    <row r="232" spans="1:5" x14ac:dyDescent="0.25">
      <c r="A232" s="1">
        <v>3</v>
      </c>
      <c r="B232" s="1">
        <f>0.695-0.89</f>
        <v>-0.19500000000000006</v>
      </c>
      <c r="C232" s="1">
        <f>104.3-114.9</f>
        <v>-10.600000000000009</v>
      </c>
      <c r="D232" s="1">
        <f>98.3-104.1</f>
        <v>-5.7999999999999972</v>
      </c>
      <c r="E232" s="1">
        <v>-2</v>
      </c>
    </row>
    <row r="233" spans="1:5" x14ac:dyDescent="0.25">
      <c r="A233" s="1">
        <v>2</v>
      </c>
      <c r="B233" s="1">
        <f>0.695-0.683</f>
        <v>1.19999999999999E-2</v>
      </c>
      <c r="C233" s="1">
        <f>104.3-102.7</f>
        <v>1.5999999999999943</v>
      </c>
      <c r="D233" s="1">
        <f>98.3-98.2</f>
        <v>9.9999999999994316E-2</v>
      </c>
      <c r="E233" s="1">
        <v>-1</v>
      </c>
    </row>
    <row r="234" spans="1:5" x14ac:dyDescent="0.25">
      <c r="A234" s="1">
        <v>4</v>
      </c>
      <c r="B234" s="1">
        <v>-0.219</v>
      </c>
      <c r="C234" s="1">
        <v>-4.7</v>
      </c>
      <c r="D234" s="1">
        <v>-1.2</v>
      </c>
      <c r="E234" s="1">
        <v>-3</v>
      </c>
    </row>
    <row r="235" spans="1:5" x14ac:dyDescent="0.25">
      <c r="A235" s="1">
        <v>7</v>
      </c>
      <c r="B235" s="1">
        <v>-0.11</v>
      </c>
      <c r="C235" s="1">
        <v>-1.5</v>
      </c>
      <c r="D235" s="1">
        <v>0.9</v>
      </c>
      <c r="E235" s="1">
        <v>-3</v>
      </c>
    </row>
    <row r="236" spans="1:5" x14ac:dyDescent="0.25">
      <c r="A236" s="1">
        <v>3</v>
      </c>
      <c r="B236" s="1">
        <f>0.683-0.585</f>
        <v>9.8000000000000087E-2</v>
      </c>
      <c r="C236" s="1">
        <f>102.7-100</f>
        <v>2.7000000000000028</v>
      </c>
      <c r="D236" s="1">
        <f>98.2-98.4</f>
        <v>-0.20000000000000284</v>
      </c>
      <c r="E236" s="1">
        <v>2</v>
      </c>
    </row>
    <row r="237" spans="1:5" x14ac:dyDescent="0.25">
      <c r="A237" s="1">
        <v>6</v>
      </c>
      <c r="B237" s="1">
        <v>-0.35299999999999998</v>
      </c>
      <c r="C237" s="1">
        <v>-9.8000000000000007</v>
      </c>
      <c r="D237" s="1">
        <v>0.2</v>
      </c>
      <c r="E237" s="1">
        <v>-2</v>
      </c>
    </row>
    <row r="238" spans="1:5" x14ac:dyDescent="0.25">
      <c r="A238" s="1">
        <v>5</v>
      </c>
      <c r="B238" s="1">
        <v>0.14599999999999999</v>
      </c>
      <c r="C238" s="1">
        <v>-6.7</v>
      </c>
      <c r="D238" s="1">
        <v>-10</v>
      </c>
      <c r="E238" s="1">
        <v>0</v>
      </c>
    </row>
    <row r="239" spans="1:5" x14ac:dyDescent="0.25">
      <c r="A239" s="1">
        <v>2</v>
      </c>
      <c r="B239" s="1">
        <f>0.585-0.585</f>
        <v>0</v>
      </c>
      <c r="C239" s="1">
        <f>102.8-105.7</f>
        <v>-2.9000000000000057</v>
      </c>
      <c r="D239" s="1">
        <f>99.2-102.5</f>
        <v>-3.2999999999999972</v>
      </c>
      <c r="E239" s="1">
        <v>2</v>
      </c>
    </row>
    <row r="240" spans="1:5" x14ac:dyDescent="0.25">
      <c r="A240" s="1">
        <v>0</v>
      </c>
      <c r="B240" s="1">
        <f>0.695-0.537</f>
        <v>0.15799999999999992</v>
      </c>
      <c r="C240" s="1">
        <f>104.3-102</f>
        <v>2.2999999999999972</v>
      </c>
      <c r="D240" s="1">
        <f>98.3-101.4</f>
        <v>-3.1000000000000085</v>
      </c>
      <c r="E240" s="1">
        <v>-2</v>
      </c>
    </row>
    <row r="241" spans="1:10" x14ac:dyDescent="0.25">
      <c r="A241" s="1">
        <v>4</v>
      </c>
      <c r="B241" s="1">
        <f>0.585-0.585</f>
        <v>0</v>
      </c>
      <c r="C241" s="1">
        <v>3.4</v>
      </c>
      <c r="D241" s="1">
        <v>2.2999999999999998</v>
      </c>
      <c r="E241" s="1">
        <v>0</v>
      </c>
    </row>
    <row r="242" spans="1:10" x14ac:dyDescent="0.25">
      <c r="A242" s="1">
        <v>3</v>
      </c>
      <c r="B242" s="1">
        <f>0.683-0.549</f>
        <v>0.13400000000000001</v>
      </c>
      <c r="C242" s="1">
        <f>102.7-102.2</f>
        <v>0.5</v>
      </c>
      <c r="D242" s="1">
        <f>98.2-100.5</f>
        <v>-2.2999999999999972</v>
      </c>
      <c r="E242" s="1">
        <v>2</v>
      </c>
    </row>
    <row r="243" spans="1:10" x14ac:dyDescent="0.25">
      <c r="A243" s="1">
        <v>1</v>
      </c>
      <c r="B243" s="1">
        <f>0.89-0.5</f>
        <v>0.39</v>
      </c>
      <c r="C243" s="1">
        <f>114.9-106.5</f>
        <v>8.4000000000000057</v>
      </c>
      <c r="D243" s="1">
        <f>104.1-106.4</f>
        <v>-2.3000000000000114</v>
      </c>
      <c r="E243" s="1">
        <v>3</v>
      </c>
    </row>
    <row r="244" spans="1:10" x14ac:dyDescent="0.25">
      <c r="A244" s="1">
        <v>6</v>
      </c>
      <c r="B244" s="1">
        <v>-0.159</v>
      </c>
      <c r="C244" s="1">
        <v>-7.9</v>
      </c>
      <c r="D244" s="1">
        <v>-0.3</v>
      </c>
      <c r="E244" s="1">
        <v>-4</v>
      </c>
    </row>
    <row r="245" spans="1:10" x14ac:dyDescent="0.25">
      <c r="A245" s="1">
        <v>5</v>
      </c>
      <c r="B245" s="1">
        <v>0.109</v>
      </c>
      <c r="C245" s="1">
        <v>-0.6</v>
      </c>
      <c r="D245" s="1">
        <v>-4.0999999999999996</v>
      </c>
      <c r="E245" s="1">
        <v>2</v>
      </c>
    </row>
    <row r="246" spans="1:10" x14ac:dyDescent="0.25">
      <c r="A246" s="1">
        <v>7</v>
      </c>
      <c r="B246" s="1">
        <v>-0.30499999999999999</v>
      </c>
      <c r="C246" s="1">
        <v>-4.4000000000000004</v>
      </c>
      <c r="D246" s="1">
        <v>8.4</v>
      </c>
      <c r="E246" s="1">
        <v>-4</v>
      </c>
      <c r="J246" s="1" t="s">
        <v>995</v>
      </c>
    </row>
    <row r="247" spans="1:10" x14ac:dyDescent="0.25">
      <c r="A247" s="1">
        <v>1</v>
      </c>
      <c r="B247" s="1">
        <f>0.817-0.622</f>
        <v>0.19499999999999995</v>
      </c>
      <c r="C247" s="1">
        <f>115.9-110.3</f>
        <v>5.6000000000000085</v>
      </c>
      <c r="D247" s="1">
        <f>104.3-107.2</f>
        <v>-2.9000000000000057</v>
      </c>
      <c r="E247" s="1">
        <v>0</v>
      </c>
      <c r="F247" s="5">
        <v>0.30299999999999999</v>
      </c>
      <c r="I247" s="1" t="s">
        <v>992</v>
      </c>
      <c r="J247" s="1">
        <v>14</v>
      </c>
    </row>
    <row r="248" spans="1:10" x14ac:dyDescent="0.25">
      <c r="A248" s="1">
        <v>6</v>
      </c>
      <c r="B248" s="1">
        <v>2.4E-2</v>
      </c>
      <c r="C248" s="1">
        <v>-2.2999999999999998</v>
      </c>
      <c r="D248" s="1">
        <v>-1.8</v>
      </c>
      <c r="E248" s="1">
        <v>-2</v>
      </c>
      <c r="F248" s="5">
        <v>0.14399999999999999</v>
      </c>
      <c r="I248" s="1" t="s">
        <v>993</v>
      </c>
      <c r="J248" s="1">
        <v>13</v>
      </c>
    </row>
    <row r="249" spans="1:10" x14ac:dyDescent="0.25">
      <c r="A249" s="1">
        <v>0</v>
      </c>
      <c r="B249" s="1">
        <f>0.817-0.744</f>
        <v>7.2999999999999954E-2</v>
      </c>
      <c r="C249" s="1">
        <f>115.9-105.3</f>
        <v>10.600000000000009</v>
      </c>
      <c r="D249" s="1">
        <f>104.3-98.1</f>
        <v>6.2000000000000028</v>
      </c>
      <c r="E249" s="1">
        <v>-1</v>
      </c>
      <c r="F249" s="5">
        <v>0.10100000000000001</v>
      </c>
      <c r="I249" s="1" t="s">
        <v>994</v>
      </c>
      <c r="J249" s="1">
        <v>9</v>
      </c>
    </row>
    <row r="250" spans="1:10" x14ac:dyDescent="0.25">
      <c r="A250" s="1">
        <v>4</v>
      </c>
      <c r="B250" s="1">
        <v>-4.8000000000000001E-2</v>
      </c>
      <c r="C250" s="1">
        <v>1.2</v>
      </c>
      <c r="D250" s="1">
        <v>2</v>
      </c>
      <c r="E250" s="1">
        <v>0</v>
      </c>
      <c r="F250" s="5">
        <v>0.13900000000000001</v>
      </c>
    </row>
    <row r="251" spans="1:10" x14ac:dyDescent="0.25">
      <c r="A251" s="1">
        <v>7</v>
      </c>
      <c r="B251" s="1">
        <f>0.622-0.622</f>
        <v>0</v>
      </c>
      <c r="C251" s="1">
        <v>-3.4</v>
      </c>
      <c r="D251" s="1">
        <v>-4.5999999999999996</v>
      </c>
      <c r="E251" s="1">
        <v>-2</v>
      </c>
      <c r="F251" s="5">
        <v>5.2999999999999999E-2</v>
      </c>
    </row>
    <row r="252" spans="1:10" x14ac:dyDescent="0.25">
      <c r="A252" s="1">
        <v>0</v>
      </c>
      <c r="B252" s="1">
        <f>0.817-0.622</f>
        <v>0.19499999999999995</v>
      </c>
      <c r="C252" s="1">
        <f>115.9-100.7</f>
        <v>15.200000000000003</v>
      </c>
      <c r="D252" s="1">
        <f>104.3-96.8</f>
        <v>7.5</v>
      </c>
      <c r="E252" s="1">
        <v>1</v>
      </c>
      <c r="F252" s="5">
        <v>0.27300000000000002</v>
      </c>
    </row>
    <row r="253" spans="1:10" x14ac:dyDescent="0.25">
      <c r="A253" s="1">
        <v>2</v>
      </c>
      <c r="B253" s="1">
        <f>0.744-0.671</f>
        <v>7.2999999999999954E-2</v>
      </c>
      <c r="C253" s="1">
        <f>105.3-115.3</f>
        <v>-10</v>
      </c>
      <c r="D253" s="1">
        <f>98.1-109.6</f>
        <v>-11.5</v>
      </c>
      <c r="E253" s="1">
        <v>2</v>
      </c>
      <c r="F253" s="5">
        <v>0.25600000000000001</v>
      </c>
    </row>
    <row r="254" spans="1:10" x14ac:dyDescent="0.25">
      <c r="A254" s="1">
        <v>5</v>
      </c>
      <c r="B254" s="1">
        <v>-0.14599999999999999</v>
      </c>
      <c r="C254" s="1">
        <v>-5.0999999999999996</v>
      </c>
      <c r="D254" s="1">
        <v>-3</v>
      </c>
      <c r="E254" s="1">
        <v>0</v>
      </c>
      <c r="F254" s="5">
        <v>0.26300000000000001</v>
      </c>
    </row>
    <row r="255" spans="1:10" x14ac:dyDescent="0.25">
      <c r="A255" s="1">
        <v>7</v>
      </c>
      <c r="B255" s="1">
        <v>-0.11</v>
      </c>
      <c r="C255" s="1">
        <v>-5.2</v>
      </c>
      <c r="D255" s="1">
        <v>-1.9</v>
      </c>
      <c r="E255" s="1">
        <v>-2</v>
      </c>
      <c r="F255" s="5">
        <v>0.155</v>
      </c>
    </row>
    <row r="256" spans="1:10" x14ac:dyDescent="0.25">
      <c r="A256" s="1">
        <v>2</v>
      </c>
      <c r="B256" s="1">
        <f>0.622-0.512</f>
        <v>0.10999999999999999</v>
      </c>
      <c r="C256" s="1">
        <f>106.9-103.6</f>
        <v>3.3000000000000114</v>
      </c>
      <c r="D256" s="1">
        <f>102.6-103.8</f>
        <v>-1.2000000000000028</v>
      </c>
      <c r="E256" s="1">
        <v>2</v>
      </c>
      <c r="F256" s="5">
        <v>0.25700000000000001</v>
      </c>
    </row>
    <row r="257" spans="1:6" x14ac:dyDescent="0.25">
      <c r="A257" s="1">
        <v>5</v>
      </c>
      <c r="B257" s="1">
        <v>-7.3999999999999996E-2</v>
      </c>
      <c r="C257" s="1">
        <v>-6</v>
      </c>
      <c r="D257" s="1">
        <v>-3.4</v>
      </c>
      <c r="E257" s="1">
        <v>-2</v>
      </c>
      <c r="F257" s="5">
        <v>0.26700000000000002</v>
      </c>
    </row>
    <row r="258" spans="1:6" x14ac:dyDescent="0.25">
      <c r="A258" s="1">
        <v>0</v>
      </c>
      <c r="B258" s="1">
        <f>0.817-0.5</f>
        <v>0.31699999999999995</v>
      </c>
      <c r="C258" s="1">
        <f>115.9-107.9</f>
        <v>8</v>
      </c>
      <c r="D258" s="1">
        <f>104.3-108.5</f>
        <v>-4.2000000000000028</v>
      </c>
      <c r="E258" s="1">
        <v>4</v>
      </c>
      <c r="F258" s="5">
        <v>0.68700000000000006</v>
      </c>
    </row>
    <row r="259" spans="1:6" x14ac:dyDescent="0.25">
      <c r="A259" s="1">
        <v>1</v>
      </c>
      <c r="B259" s="1">
        <f>0.671-0.573</f>
        <v>9.8000000000000087E-2</v>
      </c>
      <c r="C259" s="1">
        <f>115.3-106.6</f>
        <v>8.7000000000000028</v>
      </c>
      <c r="D259" s="1">
        <f>109.6-105.8</f>
        <v>3.7999999999999972</v>
      </c>
      <c r="E259" s="1">
        <v>2</v>
      </c>
      <c r="F259" s="5">
        <v>0.249</v>
      </c>
    </row>
    <row r="260" spans="1:6" x14ac:dyDescent="0.25">
      <c r="A260" s="1">
        <v>2</v>
      </c>
      <c r="B260" s="1">
        <f>0.744-0.524</f>
        <v>0.21999999999999997</v>
      </c>
      <c r="C260" s="1">
        <f>105.3-100.5</f>
        <v>4.7999999999999972</v>
      </c>
      <c r="D260" s="1">
        <f>98.1-100</f>
        <v>-1.9000000000000057</v>
      </c>
      <c r="E260" s="1">
        <v>0</v>
      </c>
      <c r="F260" s="5">
        <v>0.23300000000000001</v>
      </c>
    </row>
    <row r="261" spans="1:6" x14ac:dyDescent="0.25">
      <c r="A261" s="1">
        <v>3</v>
      </c>
      <c r="B261" s="1">
        <f>0.622-0.622</f>
        <v>0</v>
      </c>
      <c r="C261" s="1">
        <f>100.7-108.7</f>
        <v>-8</v>
      </c>
      <c r="D261" s="1">
        <f>96.8-104.4</f>
        <v>-7.6000000000000085</v>
      </c>
      <c r="E261" s="1">
        <v>-2</v>
      </c>
      <c r="F261" s="5">
        <v>0.13300000000000001</v>
      </c>
    </row>
    <row r="265" spans="1:6" x14ac:dyDescent="0.25">
      <c r="A265" s="1" t="s">
        <v>991</v>
      </c>
    </row>
    <row r="266" spans="1:6" x14ac:dyDescent="0.25">
      <c r="A266" s="1" t="s">
        <v>965</v>
      </c>
      <c r="B266" s="1">
        <f>0.72-0.524</f>
        <v>0.19599999999999995</v>
      </c>
      <c r="C266" s="1">
        <f>111.7-106.6</f>
        <v>5.1000000000000085</v>
      </c>
      <c r="D266" s="1">
        <f>103.9-106</f>
        <v>-2.0999999999999943</v>
      </c>
      <c r="E266" s="1">
        <v>0</v>
      </c>
    </row>
    <row r="267" spans="1:6" x14ac:dyDescent="0.25">
      <c r="A267" s="1" t="s">
        <v>966</v>
      </c>
      <c r="B267" s="1">
        <f>0.671-0.537</f>
        <v>0.13400000000000001</v>
      </c>
      <c r="C267" s="1">
        <f>104-106.5</f>
        <v>-2.5</v>
      </c>
      <c r="D267" s="1">
        <f>100.4-106.8</f>
        <v>-6.3999999999999915</v>
      </c>
      <c r="E267" s="1">
        <v>0</v>
      </c>
    </row>
    <row r="268" spans="1:6" x14ac:dyDescent="0.25">
      <c r="A268" s="1" t="s">
        <v>967</v>
      </c>
      <c r="B268" s="1">
        <f>0.634-0.537</f>
        <v>9.6999999999999975E-2</v>
      </c>
      <c r="C268" s="1">
        <f>109.8-103.4</f>
        <v>6.3999999999999915</v>
      </c>
      <c r="D268" s="1">
        <f>105.3-102.9</f>
        <v>2.3999999999999915</v>
      </c>
      <c r="E268" s="1">
        <v>0</v>
      </c>
    </row>
    <row r="269" spans="1:6" x14ac:dyDescent="0.25">
      <c r="A269" s="1" t="s">
        <v>909</v>
      </c>
      <c r="B269" s="1">
        <f>0.61-0.585</f>
        <v>2.5000000000000022E-2</v>
      </c>
      <c r="C269" s="1">
        <f>110.9-105.6</f>
        <v>5.3000000000000114</v>
      </c>
      <c r="D269" s="1">
        <f>109.9-104.2</f>
        <v>5.7000000000000028</v>
      </c>
      <c r="E269" s="1">
        <v>-2</v>
      </c>
    </row>
    <row r="270" spans="1:6" x14ac:dyDescent="0.25">
      <c r="A270" s="1"/>
      <c r="B270" s="1"/>
      <c r="C270" s="1"/>
      <c r="D270" s="1"/>
      <c r="E270" s="1"/>
    </row>
    <row r="271" spans="1:6" x14ac:dyDescent="0.25">
      <c r="A271" s="1" t="s">
        <v>968</v>
      </c>
      <c r="B271" s="1">
        <f>0.793-0.573</f>
        <v>0.22000000000000008</v>
      </c>
      <c r="C271" s="1">
        <f>112.4-109.5</f>
        <v>2.9000000000000057</v>
      </c>
      <c r="D271" s="1">
        <f>103.9-107.3</f>
        <v>-3.3999999999999915</v>
      </c>
      <c r="E271" s="1">
        <v>4</v>
      </c>
    </row>
    <row r="272" spans="1:6" x14ac:dyDescent="0.25">
      <c r="A272" s="1" t="s">
        <v>904</v>
      </c>
      <c r="B272" s="1">
        <f>0.707-0.573</f>
        <v>0.13400000000000001</v>
      </c>
      <c r="C272" s="1">
        <f>113.5-102.7</f>
        <v>10.799999999999997</v>
      </c>
      <c r="D272" s="1">
        <f>107.5-99.8</f>
        <v>7.7000000000000028</v>
      </c>
      <c r="E272" s="1">
        <v>2</v>
      </c>
    </row>
    <row r="273" spans="1:5" x14ac:dyDescent="0.25">
      <c r="A273" s="1" t="s">
        <v>969</v>
      </c>
      <c r="B273" s="1">
        <f>0.598-0.585</f>
        <v>1.3000000000000012E-2</v>
      </c>
      <c r="C273" s="1">
        <f>105.6-111.7</f>
        <v>-6.1000000000000085</v>
      </c>
      <c r="D273" s="1">
        <f>103-110.4</f>
        <v>-7.4000000000000057</v>
      </c>
      <c r="E273" s="1">
        <v>0</v>
      </c>
    </row>
    <row r="274" spans="1:5" x14ac:dyDescent="0.25">
      <c r="A274" s="1" t="s">
        <v>970</v>
      </c>
      <c r="B274" s="1">
        <f>0.585-0.585</f>
        <v>0</v>
      </c>
      <c r="C274" s="1">
        <f>107.9-104.1</f>
        <v>3.8000000000000114</v>
      </c>
      <c r="D274" s="1">
        <f>104.4-99.8</f>
        <v>4.6000000000000085</v>
      </c>
      <c r="E274" s="1">
        <v>2</v>
      </c>
    </row>
    <row r="277" spans="1:5" x14ac:dyDescent="0.25">
      <c r="A277" s="1" t="s">
        <v>996</v>
      </c>
      <c r="B277" s="1">
        <f>0.793-0.707</f>
        <v>8.6000000000000076E-2</v>
      </c>
      <c r="C277" s="1">
        <f>112.4-113.5</f>
        <v>-1.0999999999999943</v>
      </c>
      <c r="D277" s="1">
        <f>103.9-107.5</f>
        <v>-3.5999999999999943</v>
      </c>
      <c r="E277" s="1">
        <v>1</v>
      </c>
    </row>
    <row r="278" spans="1:5" x14ac:dyDescent="0.25">
      <c r="A278" s="1" t="s">
        <v>435</v>
      </c>
      <c r="B278" s="1">
        <f>0.671-0.61</f>
        <v>6.1000000000000054E-2</v>
      </c>
      <c r="C278" s="1">
        <f>104-110.9</f>
        <v>-6.9000000000000057</v>
      </c>
      <c r="D278" s="1">
        <f>100.4-109.9</f>
        <v>-9.5</v>
      </c>
      <c r="E278" s="1">
        <v>-1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Ed. 1</vt:lpstr>
      <vt:lpstr>NOGs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 Jia</dc:creator>
  <cp:lastModifiedBy>Shuyu Jia</cp:lastModifiedBy>
  <dcterms:created xsi:type="dcterms:W3CDTF">2018-03-07T14:14:10Z</dcterms:created>
  <dcterms:modified xsi:type="dcterms:W3CDTF">2018-05-25T13:50:04Z</dcterms:modified>
</cp:coreProperties>
</file>